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\student-api\"/>
    </mc:Choice>
  </mc:AlternateContent>
  <xr:revisionPtr revIDLastSave="0" documentId="13_ncr:1_{DF56A464-C744-41F4-A8CF-C92794F023C5}" xr6:coauthVersionLast="47" xr6:coauthVersionMax="47" xr10:uidLastSave="{00000000-0000-0000-0000-000000000000}"/>
  <bookViews>
    <workbookView xWindow="-120" yWindow="-120" windowWidth="20730" windowHeight="11040" xr2:uid="{BE5CF2FE-12C7-42C7-A140-5B3CD9FADD33}"/>
  </bookViews>
  <sheets>
    <sheet name="DATABASE" sheetId="1" r:id="rId1"/>
    <sheet name="REPORT" sheetId="2" r:id="rId2"/>
  </sheets>
  <definedNames>
    <definedName name="DATATABLE">DATABASE!$A$1:$W$41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2" l="1"/>
  <c r="G15" i="2"/>
  <c r="G16" i="2"/>
  <c r="G17" i="2"/>
  <c r="G18" i="2"/>
  <c r="G19" i="2"/>
  <c r="G20" i="2"/>
  <c r="G21" i="2"/>
  <c r="G13" i="2"/>
  <c r="E13" i="2"/>
  <c r="E2" i="1"/>
  <c r="E14" i="2"/>
  <c r="J14" i="2" s="1"/>
  <c r="E15" i="2"/>
  <c r="J15" i="2" s="1"/>
  <c r="E16" i="2"/>
  <c r="J16" i="2" s="1"/>
  <c r="E17" i="2"/>
  <c r="I17" i="2" s="1"/>
  <c r="E18" i="2"/>
  <c r="I18" i="2" s="1"/>
  <c r="E19" i="2"/>
  <c r="I19" i="2" s="1"/>
  <c r="E20" i="2"/>
  <c r="I20" i="2" s="1"/>
  <c r="E21" i="2"/>
  <c r="I21" i="2" s="1"/>
  <c r="I16" i="2" l="1"/>
  <c r="I15" i="2"/>
  <c r="I14" i="2"/>
  <c r="J13" i="2"/>
  <c r="J21" i="2"/>
  <c r="J19" i="2"/>
  <c r="J17" i="2"/>
  <c r="I13" i="2"/>
  <c r="J20" i="2"/>
  <c r="J18" i="2"/>
  <c r="D8" i="2" l="1"/>
  <c r="D9" i="2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W39" i="1" s="1"/>
  <c r="V40" i="1"/>
  <c r="V4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V2" i="1"/>
  <c r="E22" i="2" s="1"/>
  <c r="D24" i="2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U2" i="1"/>
  <c r="S2" i="1"/>
  <c r="Q2" i="1"/>
  <c r="O2" i="1"/>
  <c r="M2" i="1"/>
  <c r="K2" i="1"/>
  <c r="I2" i="1"/>
  <c r="G2" i="1"/>
  <c r="W31" i="1" l="1"/>
  <c r="W23" i="1"/>
  <c r="W15" i="1"/>
  <c r="W3" i="1"/>
  <c r="W38" i="1"/>
  <c r="W34" i="1"/>
  <c r="W30" i="1"/>
  <c r="W26" i="1"/>
  <c r="W22" i="1"/>
  <c r="W18" i="1"/>
  <c r="W14" i="1"/>
  <c r="W10" i="1"/>
  <c r="W35" i="1"/>
  <c r="W27" i="1"/>
  <c r="W19" i="1"/>
  <c r="W7" i="1"/>
  <c r="W11" i="1"/>
  <c r="W40" i="1"/>
  <c r="W36" i="1"/>
  <c r="W32" i="1"/>
  <c r="W28" i="1"/>
  <c r="W16" i="1"/>
  <c r="W12" i="1"/>
  <c r="W8" i="1"/>
  <c r="W4" i="1"/>
  <c r="W2" i="1"/>
  <c r="I7" i="2" s="1"/>
  <c r="W41" i="1"/>
  <c r="W37" i="1"/>
  <c r="W33" i="1"/>
  <c r="W29" i="1"/>
  <c r="W25" i="1"/>
  <c r="W21" i="1"/>
  <c r="W17" i="1"/>
  <c r="W13" i="1"/>
  <c r="W9" i="1"/>
  <c r="W5" i="1"/>
  <c r="W24" i="1"/>
  <c r="W20" i="1"/>
  <c r="W6" i="1"/>
</calcChain>
</file>

<file path=xl/sharedStrings.xml><?xml version="1.0" encoding="utf-8"?>
<sst xmlns="http://schemas.openxmlformats.org/spreadsheetml/2006/main" count="211" uniqueCount="142">
  <si>
    <t>INDEX NO</t>
  </si>
  <si>
    <t>STUDENT NAME</t>
  </si>
  <si>
    <t>CLASS</t>
  </si>
  <si>
    <t>MATHS</t>
  </si>
  <si>
    <t>RME</t>
  </si>
  <si>
    <t>TWI</t>
  </si>
  <si>
    <t>001</t>
  </si>
  <si>
    <t>Abass Rashida</t>
  </si>
  <si>
    <t>002</t>
  </si>
  <si>
    <t>Abdul Aziz Ahmed</t>
  </si>
  <si>
    <t>003</t>
  </si>
  <si>
    <t>Abdul Karim Hassan</t>
  </si>
  <si>
    <t>FORM 1</t>
  </si>
  <si>
    <t>004</t>
  </si>
  <si>
    <t>Abdul Rahman Issah</t>
  </si>
  <si>
    <t>005</t>
  </si>
  <si>
    <t xml:space="preserve">Abdul Rashid Abass </t>
  </si>
  <si>
    <t>006</t>
  </si>
  <si>
    <t>Abdul Shakar Abass Inaayah</t>
  </si>
  <si>
    <t>007</t>
  </si>
  <si>
    <t>Abdullah Salma</t>
  </si>
  <si>
    <t>008</t>
  </si>
  <si>
    <t xml:space="preserve">Abdullai Abena Hamaamat </t>
  </si>
  <si>
    <t>009</t>
  </si>
  <si>
    <t>Abubakar Mugees</t>
  </si>
  <si>
    <t>010</t>
  </si>
  <si>
    <t>Abubakar Najat</t>
  </si>
  <si>
    <t>011</t>
  </si>
  <si>
    <t>Acheampomaa Duah Princess</t>
  </si>
  <si>
    <t>012</t>
  </si>
  <si>
    <t xml:space="preserve">Acheampong Amponsah Morris </t>
  </si>
  <si>
    <t>013</t>
  </si>
  <si>
    <t>Acheampong Appiah Bright</t>
  </si>
  <si>
    <t>014</t>
  </si>
  <si>
    <t>Acheampong Smart</t>
  </si>
  <si>
    <t>015</t>
  </si>
  <si>
    <t>Acquah Daniel</t>
  </si>
  <si>
    <t>016</t>
  </si>
  <si>
    <t>Adabo Nimako Vanessa</t>
  </si>
  <si>
    <t>017</t>
  </si>
  <si>
    <t>Adamtey Oppong Jesse</t>
  </si>
  <si>
    <t>018</t>
  </si>
  <si>
    <t>Adansi Kwabena Fosu</t>
  </si>
  <si>
    <t>019</t>
  </si>
  <si>
    <t>Addae Emran</t>
  </si>
  <si>
    <t>020</t>
  </si>
  <si>
    <t>Agyei Nana Michael</t>
  </si>
  <si>
    <t>021</t>
  </si>
  <si>
    <t>Adjei Ode Sandra</t>
  </si>
  <si>
    <t>022</t>
  </si>
  <si>
    <t>Adomako Joseph</t>
  </si>
  <si>
    <t>023</t>
  </si>
  <si>
    <t>Adu Agyeiwaa  Anastasia</t>
  </si>
  <si>
    <t>024</t>
  </si>
  <si>
    <t>Adu Derrick</t>
  </si>
  <si>
    <t>025</t>
  </si>
  <si>
    <t>Adu Owusuwaa Princess</t>
  </si>
  <si>
    <t>026</t>
  </si>
  <si>
    <t>Adusei Henry</t>
  </si>
  <si>
    <t>027</t>
  </si>
  <si>
    <t>Adusei Kwakye Clinton Pattison</t>
  </si>
  <si>
    <t>028</t>
  </si>
  <si>
    <t>Adusei Serwaa Priscilla</t>
  </si>
  <si>
    <t>029</t>
  </si>
  <si>
    <t>Afari Akosua Nyarko</t>
  </si>
  <si>
    <t>030</t>
  </si>
  <si>
    <t>Afrifa Abigail Opoku</t>
  </si>
  <si>
    <t>031</t>
  </si>
  <si>
    <t>Afriyie Jessica</t>
  </si>
  <si>
    <t>032</t>
  </si>
  <si>
    <t>Agondo Austin Kumah</t>
  </si>
  <si>
    <t>033</t>
  </si>
  <si>
    <t xml:space="preserve">Agondo Makpondji Aiden </t>
  </si>
  <si>
    <t>034</t>
  </si>
  <si>
    <t>Agudey Lauretta Daikie</t>
  </si>
  <si>
    <t>035</t>
  </si>
  <si>
    <t>Agyapong Asamoah Maxwell</t>
  </si>
  <si>
    <t>036</t>
  </si>
  <si>
    <t>Agyei Dorothy</t>
  </si>
  <si>
    <t>037</t>
  </si>
  <si>
    <t>Agyei Gyamfi Nana Jerry</t>
  </si>
  <si>
    <t>038</t>
  </si>
  <si>
    <t>Agyekum Richard</t>
  </si>
  <si>
    <t>039</t>
  </si>
  <si>
    <t>Agyemang Akoma Edith</t>
  </si>
  <si>
    <t>040</t>
  </si>
  <si>
    <t>Agyemang Baffour Chris</t>
  </si>
  <si>
    <t>ENGLISH</t>
  </si>
  <si>
    <t>SCIENCE</t>
  </si>
  <si>
    <t>COMPUTING</t>
  </si>
  <si>
    <t>CAREER</t>
  </si>
  <si>
    <t>CREATIVE</t>
  </si>
  <si>
    <t>:</t>
  </si>
  <si>
    <t>SUBJECT</t>
  </si>
  <si>
    <t>REMARKS</t>
  </si>
  <si>
    <t>POSITION IN CLASS</t>
  </si>
  <si>
    <t>DECENCY JUNIOR HIGH SCHOOL</t>
  </si>
  <si>
    <t>TOTAL MARKS OBTAINED</t>
  </si>
  <si>
    <t>CLASS TEACHER'S REMARKS</t>
  </si>
  <si>
    <t>MARKS OBTAINED</t>
  </si>
  <si>
    <t>SOCIAL STUDIES</t>
  </si>
  <si>
    <t>NEXT TERM BEGINS</t>
  </si>
  <si>
    <t>PROMOTED TO</t>
  </si>
  <si>
    <t>GRADE</t>
  </si>
  <si>
    <t>ACADEMIC TERM ONE</t>
  </si>
  <si>
    <t>GRADING INTEPRETATION</t>
  </si>
  <si>
    <t>100-75</t>
  </si>
  <si>
    <t>A1</t>
  </si>
  <si>
    <t>75-70</t>
  </si>
  <si>
    <t>B2</t>
  </si>
  <si>
    <t>70-60</t>
  </si>
  <si>
    <t>B3</t>
  </si>
  <si>
    <t>60-55</t>
  </si>
  <si>
    <t>55-50</t>
  </si>
  <si>
    <t>C4</t>
  </si>
  <si>
    <t>C5</t>
  </si>
  <si>
    <t>C6</t>
  </si>
  <si>
    <t>D7</t>
  </si>
  <si>
    <t>E8</t>
  </si>
  <si>
    <t>F9</t>
  </si>
  <si>
    <t>50-45</t>
  </si>
  <si>
    <t>45-40</t>
  </si>
  <si>
    <t>40-35</t>
  </si>
  <si>
    <t>35-0</t>
  </si>
  <si>
    <r>
      <t>REPORT CAR</t>
    </r>
    <r>
      <rPr>
        <sz val="18"/>
        <color theme="1"/>
        <rFont val="Times New Roman"/>
        <family val="1"/>
      </rPr>
      <t>D</t>
    </r>
  </si>
  <si>
    <t>HEADMASTER'S SIGN</t>
  </si>
  <si>
    <r>
      <t>4</t>
    </r>
    <r>
      <rPr>
        <b/>
        <vertAlign val="superscript"/>
        <sz val="18"/>
        <color theme="1"/>
        <rFont val="Times New Roman"/>
        <family val="1"/>
      </rPr>
      <t>TH</t>
    </r>
    <r>
      <rPr>
        <b/>
        <sz val="18"/>
        <color theme="1"/>
        <rFont val="Times New Roman"/>
        <family val="1"/>
      </rPr>
      <t xml:space="preserve"> MAY, 2026</t>
    </r>
  </si>
  <si>
    <t>ENG POS</t>
  </si>
  <si>
    <t>MATHS POS</t>
  </si>
  <si>
    <t>SCI POS</t>
  </si>
  <si>
    <t>SOC POS</t>
  </si>
  <si>
    <t>RME POS</t>
  </si>
  <si>
    <t>COM POS</t>
  </si>
  <si>
    <t>CAR POS</t>
  </si>
  <si>
    <t>TWI POS</t>
  </si>
  <si>
    <t>CRE POS</t>
  </si>
  <si>
    <t>SUBJECT POSITION</t>
  </si>
  <si>
    <t>NUNBER ON ROLL</t>
  </si>
  <si>
    <t>P.O BOX AH 8787 KUMASI</t>
  </si>
  <si>
    <t xml:space="preserve">CAREER </t>
  </si>
  <si>
    <t xml:space="preserve">CREATIVE </t>
  </si>
  <si>
    <t xml:space="preserve">SOCIAL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</si>
</sst>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name val="Aptos Display"/>
      <family val="1"/>
      <scheme val="maj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18"/>
      <color theme="1"/>
      <name val="Times New Roman"/>
      <family val="1"/>
    </font>
    <font>
      <b/>
      <sz val="36"/>
      <color theme="1"/>
      <name val="Times New Roman"/>
      <family val="1"/>
    </font>
    <font>
      <b/>
      <vertAlign val="superscript"/>
      <sz val="18"/>
      <color theme="1"/>
      <name val="Times New Roman"/>
      <family val="1"/>
    </font>
    <font>
      <sz val="20"/>
      <color theme="1"/>
      <name val="Times New Roman"/>
      <family val="1"/>
    </font>
    <font>
      <i/>
      <sz val="16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2" borderId="1" xfId="0" quotePrefix="1" applyFont="1" applyFill="1" applyBorder="1" applyAlignment="1">
      <alignment horizontal="center"/>
    </xf>
    <xf numFmtId="0" fontId="2" fillId="0" borderId="1" xfId="0" applyFont="1" applyBorder="1"/>
    <xf numFmtId="0" fontId="0" fillId="0" borderId="0" xfId="0" applyFill="1"/>
    <xf numFmtId="0" fontId="0" fillId="0" borderId="0" xfId="0" applyBorder="1" applyAlignment="1"/>
    <xf numFmtId="0" fontId="0" fillId="0" borderId="0" xfId="0" applyBorder="1"/>
    <xf numFmtId="0" fontId="6" fillId="0" borderId="0" xfId="0" applyFont="1" applyFill="1" applyBorder="1"/>
    <xf numFmtId="0" fontId="6" fillId="0" borderId="0" xfId="0" applyFont="1"/>
    <xf numFmtId="0" fontId="5" fillId="0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Fill="1" applyBorder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quotePrefix="1"/>
    <xf numFmtId="0" fontId="5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0" fontId="15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0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1428749</xdr:colOff>
      <xdr:row>1</xdr:row>
      <xdr:rowOff>517073</xdr:rowOff>
    </xdr:from>
    <xdr:to>
      <xdr:col>2</xdr:col>
      <xdr:colOff>54429</xdr:colOff>
      <xdr:row>5</xdr:row>
      <xdr:rowOff>285751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8E019C-445A-4628-A595-3841AE814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1713" y="707573"/>
          <a:ext cx="1660073" cy="1578428"/>
        </a:xfrm>
        <a:prstGeom prst="rect">
          <a:avLst/>
        </a:prstGeom>
        <a:ln>
          <a:noFill/>
        </a:ln>
        <a:effectLst/>
      </xdr:spPr>
    </xdr:pic>
    <xdr:clientData/>
  </xdr:twoCellAnchor>
  <xdr:twoCellAnchor editAs="oneCell">
    <xdr:from>
      <xdr:col>3</xdr:col>
      <xdr:colOff>531245</xdr:colOff>
      <xdr:row>24</xdr:row>
      <xdr:rowOff>16822</xdr:rowOff>
    </xdr:from>
    <xdr:to>
      <xdr:col>3</xdr:col>
      <xdr:colOff>1908400</xdr:colOff>
      <xdr:row>25</xdr:row>
      <xdr:rowOff>88447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EDE1F37-2D37-48FF-8339-604B2C954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7459" y="8657358"/>
          <a:ext cx="1377155" cy="411803"/>
        </a:xfrm>
        <a:prstGeom prst="rect">
          <a:avLst/>
        </a:prstGeom>
      </xdr:spPr>
    </xdr:pic>
    <xdr:clientData/>
  </xdr:twoCellAnchor>
  <xdr:twoCellAnchor>
    <xdr:from>
      <xdr:col>3</xdr:col>
      <xdr:colOff>244929</xdr:colOff>
      <xdr:row>42</xdr:row>
      <xdr:rowOff>173489</xdr:rowOff>
    </xdr:from>
    <xdr:to>
      <xdr:col>6</xdr:col>
      <xdr:colOff>952501</xdr:colOff>
      <xdr:row>46</xdr:row>
      <xdr:rowOff>176893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6DBE53A-5140-DBE0-D9AC-E4EA67EED537}"/>
            </a:ext>
          </a:extLst>
        </xdr:cNvPr>
        <xdr:cNvSpPr/>
      </xdr:nvSpPr>
      <xdr:spPr>
        <a:xfrm>
          <a:off x="3701143" y="14855596"/>
          <a:ext cx="5619751" cy="7654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 i="1">
              <a:solidFill>
                <a:sysClr val="windowText" lastClr="000000"/>
              </a:solidFill>
              <a:latin typeface="Sitka Banner" pitchFamily="2" charset="0"/>
            </a:rPr>
            <a:t>Powered</a:t>
          </a:r>
          <a:r>
            <a:rPr lang="en-US" sz="3200" b="1" i="1" baseline="0">
              <a:solidFill>
                <a:sysClr val="windowText" lastClr="000000"/>
              </a:solidFill>
              <a:latin typeface="Sitka Banner" pitchFamily="2" charset="0"/>
            </a:rPr>
            <a:t> by Eraser Solution</a:t>
          </a:r>
          <a:endParaRPr lang="en-US" sz="3200" b="1" i="1">
            <a:solidFill>
              <a:sysClr val="windowText" lastClr="000000"/>
            </a:solidFill>
            <a:latin typeface="Sitka Banner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A567-6850-4610-AA6D-CCB8D3CB8E81}">
  <dimension ref="A1:W41"/>
  <sheetViews>
    <sheetView tabSelected="1" topLeftCell="E1" workbookViewId="0">
      <selection activeCell="J1" sqref="J1"/>
    </sheetView>
  </sheetViews>
  <sheetFormatPr defaultRowHeight="15" x14ac:dyDescent="0.25"/>
  <cols>
    <col min="2" max="2" width="36.85546875" customWidth="1"/>
    <col min="3" max="3" width="12.85546875" customWidth="1"/>
    <col min="10" max="10" width="14.85546875" customWidth="1"/>
    <col min="16" max="16" width="13.28515625" customWidth="1"/>
    <col min="20" max="20" width="13.5703125" customWidth="1"/>
  </cols>
  <sheetData>
    <row r="1" spans="1:23" x14ac:dyDescent="0.25">
      <c r="A1" t="s">
        <v>0</v>
      </c>
      <c r="B1" s="1" t="s">
        <v>1</v>
      </c>
      <c r="C1" s="1" t="s">
        <v>2</v>
      </c>
      <c r="D1" s="1" t="s">
        <v>87</v>
      </c>
      <c r="E1" s="1" t="s">
        <v>127</v>
      </c>
      <c r="F1" t="s">
        <v>3</v>
      </c>
      <c r="G1" s="1" t="s">
        <v>128</v>
      </c>
      <c r="H1" t="s">
        <v>88</v>
      </c>
      <c r="I1" s="1" t="s">
        <v>129</v>
      </c>
      <c r="J1" t="s">
        <v>141</v>
      </c>
      <c r="K1" s="1" t="s">
        <v>130</v>
      </c>
      <c r="L1" t="s">
        <v>4</v>
      </c>
      <c r="M1" s="1" t="s">
        <v>131</v>
      </c>
      <c r="N1" t="s">
        <v>89</v>
      </c>
      <c r="O1" s="1" t="s">
        <v>132</v>
      </c>
      <c r="P1" t="s">
        <v>139</v>
      </c>
      <c r="Q1" s="1" t="s">
        <v>133</v>
      </c>
      <c r="R1" t="s">
        <v>5</v>
      </c>
      <c r="S1" s="1" t="s">
        <v>134</v>
      </c>
      <c r="T1" t="s">
        <v>140</v>
      </c>
      <c r="U1" t="s">
        <v>135</v>
      </c>
      <c r="V1" t="s">
        <v>97</v>
      </c>
      <c r="W1" t="s">
        <v>95</v>
      </c>
    </row>
    <row r="2" spans="1:23" ht="15.75" x14ac:dyDescent="0.25">
      <c r="A2" s="2" t="s">
        <v>6</v>
      </c>
      <c r="B2" s="3" t="s">
        <v>7</v>
      </c>
      <c r="C2" t="s">
        <v>12</v>
      </c>
      <c r="D2">
        <v>45</v>
      </c>
      <c r="E2" s="19">
        <f t="shared" ref="E2:E41" si="0">RANK(D2,$D$2:$D$41)</f>
        <v>29</v>
      </c>
      <c r="F2">
        <v>79</v>
      </c>
      <c r="G2">
        <f>RANK(F2,$F$2:$F$41)</f>
        <v>8</v>
      </c>
      <c r="H2">
        <v>26</v>
      </c>
      <c r="I2">
        <f>RANK(H2,$H$2:$H$41)</f>
        <v>37</v>
      </c>
      <c r="J2">
        <v>59</v>
      </c>
      <c r="K2">
        <f>RANK(J2,$J$2:$J$41)</f>
        <v>23</v>
      </c>
      <c r="L2">
        <v>55</v>
      </c>
      <c r="M2">
        <f>RANK(L2,$L$2:$L$41)</f>
        <v>19</v>
      </c>
      <c r="N2">
        <v>41</v>
      </c>
      <c r="O2">
        <f>RANK(N2,$N$2:$N$41)</f>
        <v>34</v>
      </c>
      <c r="P2">
        <v>59</v>
      </c>
      <c r="Q2">
        <f>RANK(P2,$P$2:$P$41)</f>
        <v>22</v>
      </c>
      <c r="R2">
        <v>87</v>
      </c>
      <c r="S2">
        <f>RANK(R2,$R$2:$R$41)</f>
        <v>6</v>
      </c>
      <c r="T2">
        <v>45</v>
      </c>
      <c r="U2">
        <f>RANK(T2,$T$2:$T$41)</f>
        <v>29</v>
      </c>
      <c r="V2">
        <f t="shared" ref="V2:V41" si="1">SUM(D2,F2,H2,J2,L2,N2,P2,R2,T2)</f>
        <v>496</v>
      </c>
      <c r="W2">
        <f>RANK(V2,$V$2:$V$41)</f>
        <v>34</v>
      </c>
    </row>
    <row r="3" spans="1:23" ht="15.75" x14ac:dyDescent="0.25">
      <c r="A3" s="2" t="s">
        <v>8</v>
      </c>
      <c r="B3" s="3" t="s">
        <v>9</v>
      </c>
      <c r="C3" t="s">
        <v>12</v>
      </c>
      <c r="D3">
        <v>25</v>
      </c>
      <c r="E3">
        <f t="shared" si="0"/>
        <v>39</v>
      </c>
      <c r="F3">
        <v>75</v>
      </c>
      <c r="G3">
        <f t="shared" ref="G3:G41" si="2">RANK(F3,$F$2:$F$41)</f>
        <v>11</v>
      </c>
      <c r="H3">
        <v>68</v>
      </c>
      <c r="I3">
        <f t="shared" ref="I3:I41" si="3">RANK(H3,$H$2:$H$41)</f>
        <v>21</v>
      </c>
      <c r="J3">
        <v>95</v>
      </c>
      <c r="K3">
        <f t="shared" ref="K3:K41" si="4">RANK(J3,$J$2:$J$41)</f>
        <v>4</v>
      </c>
      <c r="L3">
        <v>45</v>
      </c>
      <c r="M3">
        <f t="shared" ref="M3:M41" si="5">RANK(L3,$L$2:$L$41)</f>
        <v>24</v>
      </c>
      <c r="N3">
        <v>23</v>
      </c>
      <c r="O3">
        <f t="shared" ref="O3:O41" si="6">RANK(N3,$N$2:$N$41)</f>
        <v>39</v>
      </c>
      <c r="P3">
        <v>95</v>
      </c>
      <c r="Q3">
        <f t="shared" ref="Q3:Q41" si="7">RANK(P3,$P$2:$P$41)</f>
        <v>4</v>
      </c>
      <c r="R3">
        <v>45</v>
      </c>
      <c r="S3">
        <f t="shared" ref="S3:S41" si="8">RANK(R3,$R$2:$R$41)</f>
        <v>28</v>
      </c>
      <c r="T3">
        <v>69</v>
      </c>
      <c r="U3">
        <f t="shared" ref="U3:U41" si="9">RANK(T3,$T$2:$T$41)</f>
        <v>21</v>
      </c>
      <c r="V3">
        <f t="shared" si="1"/>
        <v>540</v>
      </c>
      <c r="W3">
        <f t="shared" ref="W3:W41" si="10">RANK(V3,$V$2:$V$41)</f>
        <v>26</v>
      </c>
    </row>
    <row r="4" spans="1:23" ht="15.75" x14ac:dyDescent="0.25">
      <c r="A4" s="2" t="s">
        <v>10</v>
      </c>
      <c r="B4" s="3" t="s">
        <v>11</v>
      </c>
      <c r="C4" t="s">
        <v>12</v>
      </c>
      <c r="D4">
        <v>45</v>
      </c>
      <c r="E4">
        <f t="shared" si="0"/>
        <v>29</v>
      </c>
      <c r="F4">
        <v>73</v>
      </c>
      <c r="G4">
        <f t="shared" si="2"/>
        <v>12</v>
      </c>
      <c r="H4">
        <v>84</v>
      </c>
      <c r="I4">
        <f t="shared" si="3"/>
        <v>9</v>
      </c>
      <c r="J4">
        <v>95</v>
      </c>
      <c r="K4">
        <f t="shared" si="4"/>
        <v>4</v>
      </c>
      <c r="L4">
        <v>25</v>
      </c>
      <c r="M4">
        <f t="shared" si="5"/>
        <v>37</v>
      </c>
      <c r="N4">
        <v>69</v>
      </c>
      <c r="O4">
        <f t="shared" si="6"/>
        <v>18</v>
      </c>
      <c r="P4">
        <v>95</v>
      </c>
      <c r="Q4">
        <f t="shared" si="7"/>
        <v>4</v>
      </c>
      <c r="R4">
        <v>65</v>
      </c>
      <c r="S4">
        <f t="shared" si="8"/>
        <v>20</v>
      </c>
      <c r="T4">
        <v>87</v>
      </c>
      <c r="U4">
        <f t="shared" si="9"/>
        <v>9</v>
      </c>
      <c r="V4">
        <f t="shared" si="1"/>
        <v>638</v>
      </c>
      <c r="W4">
        <f t="shared" si="10"/>
        <v>5</v>
      </c>
    </row>
    <row r="5" spans="1:23" ht="15.75" x14ac:dyDescent="0.25">
      <c r="A5" s="2" t="s">
        <v>13</v>
      </c>
      <c r="B5" s="3" t="s">
        <v>14</v>
      </c>
      <c r="C5" t="s">
        <v>12</v>
      </c>
      <c r="D5">
        <v>69</v>
      </c>
      <c r="E5">
        <f t="shared" si="0"/>
        <v>17</v>
      </c>
      <c r="F5">
        <v>35</v>
      </c>
      <c r="G5">
        <f t="shared" si="2"/>
        <v>35</v>
      </c>
      <c r="H5">
        <v>42</v>
      </c>
      <c r="I5">
        <f t="shared" si="3"/>
        <v>31</v>
      </c>
      <c r="J5">
        <v>96</v>
      </c>
      <c r="K5">
        <f t="shared" si="4"/>
        <v>3</v>
      </c>
      <c r="L5">
        <v>45</v>
      </c>
      <c r="M5">
        <f t="shared" si="5"/>
        <v>24</v>
      </c>
      <c r="N5">
        <v>98</v>
      </c>
      <c r="O5">
        <f t="shared" si="6"/>
        <v>1</v>
      </c>
      <c r="P5">
        <v>96</v>
      </c>
      <c r="Q5">
        <f t="shared" si="7"/>
        <v>3</v>
      </c>
      <c r="R5">
        <v>52</v>
      </c>
      <c r="S5">
        <f t="shared" si="8"/>
        <v>26</v>
      </c>
      <c r="T5">
        <v>41</v>
      </c>
      <c r="U5">
        <f t="shared" si="9"/>
        <v>33</v>
      </c>
      <c r="V5">
        <f t="shared" si="1"/>
        <v>574</v>
      </c>
      <c r="W5">
        <f t="shared" si="10"/>
        <v>21</v>
      </c>
    </row>
    <row r="6" spans="1:23" ht="15.75" x14ac:dyDescent="0.25">
      <c r="A6" s="2" t="s">
        <v>15</v>
      </c>
      <c r="B6" s="3" t="s">
        <v>16</v>
      </c>
      <c r="C6" t="s">
        <v>12</v>
      </c>
      <c r="D6">
        <v>87</v>
      </c>
      <c r="E6">
        <f t="shared" si="0"/>
        <v>8</v>
      </c>
      <c r="F6">
        <v>37</v>
      </c>
      <c r="G6">
        <f t="shared" si="2"/>
        <v>34</v>
      </c>
      <c r="H6">
        <v>65</v>
      </c>
      <c r="I6">
        <f t="shared" si="3"/>
        <v>23</v>
      </c>
      <c r="J6">
        <v>93</v>
      </c>
      <c r="K6">
        <f t="shared" si="4"/>
        <v>6</v>
      </c>
      <c r="L6">
        <v>69</v>
      </c>
      <c r="M6">
        <f t="shared" si="5"/>
        <v>13</v>
      </c>
      <c r="N6">
        <v>87</v>
      </c>
      <c r="O6">
        <f t="shared" si="6"/>
        <v>9</v>
      </c>
      <c r="P6">
        <v>93</v>
      </c>
      <c r="Q6">
        <f t="shared" si="7"/>
        <v>6</v>
      </c>
      <c r="R6">
        <v>84</v>
      </c>
      <c r="S6">
        <f t="shared" si="8"/>
        <v>11</v>
      </c>
      <c r="T6">
        <v>23</v>
      </c>
      <c r="U6">
        <f t="shared" si="9"/>
        <v>39</v>
      </c>
      <c r="V6">
        <f t="shared" si="1"/>
        <v>638</v>
      </c>
      <c r="W6">
        <f t="shared" si="10"/>
        <v>5</v>
      </c>
    </row>
    <row r="7" spans="1:23" ht="15.75" x14ac:dyDescent="0.25">
      <c r="A7" s="2" t="s">
        <v>17</v>
      </c>
      <c r="B7" s="3" t="s">
        <v>18</v>
      </c>
      <c r="C7" t="s">
        <v>12</v>
      </c>
      <c r="D7">
        <v>41</v>
      </c>
      <c r="E7">
        <f t="shared" si="0"/>
        <v>33</v>
      </c>
      <c r="F7">
        <v>26</v>
      </c>
      <c r="G7">
        <f t="shared" si="2"/>
        <v>36</v>
      </c>
      <c r="H7">
        <v>64</v>
      </c>
      <c r="I7">
        <f t="shared" si="3"/>
        <v>25</v>
      </c>
      <c r="J7">
        <v>98</v>
      </c>
      <c r="K7">
        <f t="shared" si="4"/>
        <v>1</v>
      </c>
      <c r="L7">
        <v>87</v>
      </c>
      <c r="M7">
        <f t="shared" si="5"/>
        <v>3</v>
      </c>
      <c r="N7">
        <v>45</v>
      </c>
      <c r="O7">
        <f t="shared" si="6"/>
        <v>29</v>
      </c>
      <c r="P7">
        <v>98</v>
      </c>
      <c r="Q7">
        <f t="shared" si="7"/>
        <v>1</v>
      </c>
      <c r="R7">
        <v>42</v>
      </c>
      <c r="S7">
        <f t="shared" si="8"/>
        <v>33</v>
      </c>
      <c r="T7">
        <v>69</v>
      </c>
      <c r="U7">
        <f t="shared" si="9"/>
        <v>21</v>
      </c>
      <c r="V7">
        <f t="shared" si="1"/>
        <v>570</v>
      </c>
      <c r="W7">
        <f t="shared" si="10"/>
        <v>23</v>
      </c>
    </row>
    <row r="8" spans="1:23" ht="15.75" x14ac:dyDescent="0.25">
      <c r="A8" s="2" t="s">
        <v>19</v>
      </c>
      <c r="B8" s="3" t="s">
        <v>20</v>
      </c>
      <c r="C8" t="s">
        <v>12</v>
      </c>
      <c r="D8">
        <v>23</v>
      </c>
      <c r="E8">
        <f t="shared" si="0"/>
        <v>40</v>
      </c>
      <c r="F8">
        <v>68</v>
      </c>
      <c r="G8">
        <f t="shared" si="2"/>
        <v>17</v>
      </c>
      <c r="H8">
        <v>55</v>
      </c>
      <c r="I8">
        <f t="shared" si="3"/>
        <v>26</v>
      </c>
      <c r="J8">
        <v>89</v>
      </c>
      <c r="K8">
        <f t="shared" si="4"/>
        <v>7</v>
      </c>
      <c r="L8">
        <v>41</v>
      </c>
      <c r="M8">
        <f t="shared" si="5"/>
        <v>30</v>
      </c>
      <c r="N8">
        <v>65</v>
      </c>
      <c r="O8">
        <f t="shared" si="6"/>
        <v>21</v>
      </c>
      <c r="P8">
        <v>89</v>
      </c>
      <c r="Q8">
        <f t="shared" si="7"/>
        <v>7</v>
      </c>
      <c r="R8">
        <v>65</v>
      </c>
      <c r="S8">
        <f t="shared" si="8"/>
        <v>20</v>
      </c>
      <c r="T8">
        <v>89</v>
      </c>
      <c r="U8">
        <f t="shared" si="9"/>
        <v>7</v>
      </c>
      <c r="V8">
        <f t="shared" si="1"/>
        <v>584</v>
      </c>
      <c r="W8">
        <f t="shared" si="10"/>
        <v>20</v>
      </c>
    </row>
    <row r="9" spans="1:23" ht="15.75" x14ac:dyDescent="0.25">
      <c r="A9" s="2" t="s">
        <v>21</v>
      </c>
      <c r="B9" s="3" t="s">
        <v>22</v>
      </c>
      <c r="C9" t="s">
        <v>12</v>
      </c>
      <c r="D9">
        <v>69</v>
      </c>
      <c r="E9">
        <f t="shared" si="0"/>
        <v>17</v>
      </c>
      <c r="F9">
        <v>78</v>
      </c>
      <c r="G9">
        <f t="shared" si="2"/>
        <v>10</v>
      </c>
      <c r="H9">
        <v>69</v>
      </c>
      <c r="I9">
        <f t="shared" si="3"/>
        <v>19</v>
      </c>
      <c r="J9">
        <v>87</v>
      </c>
      <c r="K9">
        <f t="shared" si="4"/>
        <v>8</v>
      </c>
      <c r="L9">
        <v>23</v>
      </c>
      <c r="M9">
        <f t="shared" si="5"/>
        <v>39</v>
      </c>
      <c r="N9">
        <v>52</v>
      </c>
      <c r="O9">
        <f t="shared" si="6"/>
        <v>27</v>
      </c>
      <c r="P9">
        <v>87</v>
      </c>
      <c r="Q9">
        <f t="shared" si="7"/>
        <v>8</v>
      </c>
      <c r="R9">
        <v>64</v>
      </c>
      <c r="S9">
        <f t="shared" si="8"/>
        <v>23</v>
      </c>
      <c r="T9">
        <v>87</v>
      </c>
      <c r="U9">
        <f t="shared" si="9"/>
        <v>9</v>
      </c>
      <c r="V9">
        <f t="shared" si="1"/>
        <v>616</v>
      </c>
      <c r="W9">
        <f t="shared" si="10"/>
        <v>11</v>
      </c>
    </row>
    <row r="10" spans="1:23" ht="15.75" x14ac:dyDescent="0.25">
      <c r="A10" s="2" t="s">
        <v>23</v>
      </c>
      <c r="B10" s="3" t="s">
        <v>24</v>
      </c>
      <c r="C10" t="s">
        <v>12</v>
      </c>
      <c r="D10">
        <v>98</v>
      </c>
      <c r="E10">
        <f t="shared" si="0"/>
        <v>1</v>
      </c>
      <c r="F10">
        <v>79</v>
      </c>
      <c r="G10">
        <f t="shared" si="2"/>
        <v>8</v>
      </c>
      <c r="H10">
        <v>87</v>
      </c>
      <c r="I10">
        <f t="shared" si="3"/>
        <v>6</v>
      </c>
      <c r="J10">
        <v>78</v>
      </c>
      <c r="K10">
        <f t="shared" si="4"/>
        <v>13</v>
      </c>
      <c r="L10">
        <v>69</v>
      </c>
      <c r="M10">
        <f t="shared" si="5"/>
        <v>13</v>
      </c>
      <c r="N10">
        <v>84</v>
      </c>
      <c r="O10">
        <f t="shared" si="6"/>
        <v>13</v>
      </c>
      <c r="P10">
        <v>78</v>
      </c>
      <c r="Q10">
        <f t="shared" si="7"/>
        <v>13</v>
      </c>
      <c r="R10">
        <v>55</v>
      </c>
      <c r="S10">
        <f t="shared" si="8"/>
        <v>25</v>
      </c>
      <c r="T10">
        <v>78</v>
      </c>
      <c r="U10">
        <f t="shared" si="9"/>
        <v>16</v>
      </c>
      <c r="V10">
        <f t="shared" si="1"/>
        <v>706</v>
      </c>
      <c r="W10">
        <f t="shared" si="10"/>
        <v>1</v>
      </c>
    </row>
    <row r="11" spans="1:23" ht="15.75" x14ac:dyDescent="0.25">
      <c r="A11" s="2" t="s">
        <v>25</v>
      </c>
      <c r="B11" s="3" t="s">
        <v>26</v>
      </c>
      <c r="C11" t="s">
        <v>12</v>
      </c>
      <c r="D11">
        <v>87</v>
      </c>
      <c r="E11">
        <f t="shared" si="0"/>
        <v>8</v>
      </c>
      <c r="F11">
        <v>45</v>
      </c>
      <c r="G11">
        <f t="shared" si="2"/>
        <v>25</v>
      </c>
      <c r="H11">
        <v>41</v>
      </c>
      <c r="I11">
        <f t="shared" si="3"/>
        <v>32</v>
      </c>
      <c r="J11">
        <v>79</v>
      </c>
      <c r="K11">
        <f t="shared" si="4"/>
        <v>12</v>
      </c>
      <c r="L11">
        <v>98</v>
      </c>
      <c r="M11">
        <f t="shared" si="5"/>
        <v>1</v>
      </c>
      <c r="N11">
        <v>42</v>
      </c>
      <c r="O11">
        <f t="shared" si="6"/>
        <v>33</v>
      </c>
      <c r="P11">
        <v>79</v>
      </c>
      <c r="Q11">
        <f t="shared" si="7"/>
        <v>12</v>
      </c>
      <c r="R11">
        <v>45</v>
      </c>
      <c r="S11">
        <f t="shared" si="8"/>
        <v>28</v>
      </c>
      <c r="T11">
        <v>79</v>
      </c>
      <c r="U11">
        <f t="shared" si="9"/>
        <v>14</v>
      </c>
      <c r="V11">
        <f t="shared" si="1"/>
        <v>595</v>
      </c>
      <c r="W11">
        <f t="shared" si="10"/>
        <v>16</v>
      </c>
    </row>
    <row r="12" spans="1:23" ht="15.75" x14ac:dyDescent="0.25">
      <c r="A12" s="2" t="s">
        <v>27</v>
      </c>
      <c r="B12" s="3" t="s">
        <v>28</v>
      </c>
      <c r="C12" t="s">
        <v>12</v>
      </c>
      <c r="D12">
        <v>45</v>
      </c>
      <c r="E12">
        <f t="shared" si="0"/>
        <v>29</v>
      </c>
      <c r="F12">
        <v>25</v>
      </c>
      <c r="G12">
        <f t="shared" si="2"/>
        <v>37</v>
      </c>
      <c r="H12">
        <v>23</v>
      </c>
      <c r="I12">
        <f t="shared" si="3"/>
        <v>40</v>
      </c>
      <c r="J12">
        <v>75</v>
      </c>
      <c r="K12">
        <f t="shared" si="4"/>
        <v>14</v>
      </c>
      <c r="L12">
        <v>87</v>
      </c>
      <c r="M12">
        <f t="shared" si="5"/>
        <v>3</v>
      </c>
      <c r="N12">
        <v>65</v>
      </c>
      <c r="O12">
        <f t="shared" si="6"/>
        <v>21</v>
      </c>
      <c r="P12">
        <v>75</v>
      </c>
      <c r="Q12">
        <f t="shared" si="7"/>
        <v>14</v>
      </c>
      <c r="R12">
        <v>25</v>
      </c>
      <c r="S12">
        <f t="shared" si="8"/>
        <v>38</v>
      </c>
      <c r="T12">
        <v>75</v>
      </c>
      <c r="U12">
        <f t="shared" si="9"/>
        <v>18</v>
      </c>
      <c r="V12">
        <f t="shared" si="1"/>
        <v>495</v>
      </c>
      <c r="W12">
        <f t="shared" si="10"/>
        <v>35</v>
      </c>
    </row>
    <row r="13" spans="1:23" ht="15.75" x14ac:dyDescent="0.25">
      <c r="A13" s="2" t="s">
        <v>29</v>
      </c>
      <c r="B13" s="3" t="s">
        <v>30</v>
      </c>
      <c r="C13" t="s">
        <v>12</v>
      </c>
      <c r="D13">
        <v>65</v>
      </c>
      <c r="E13">
        <f t="shared" si="0"/>
        <v>20</v>
      </c>
      <c r="F13">
        <v>45</v>
      </c>
      <c r="G13">
        <f t="shared" si="2"/>
        <v>25</v>
      </c>
      <c r="H13">
        <v>69</v>
      </c>
      <c r="I13">
        <f t="shared" si="3"/>
        <v>19</v>
      </c>
      <c r="J13">
        <v>73</v>
      </c>
      <c r="K13">
        <f t="shared" si="4"/>
        <v>16</v>
      </c>
      <c r="L13">
        <v>45</v>
      </c>
      <c r="M13">
        <f t="shared" si="5"/>
        <v>24</v>
      </c>
      <c r="N13">
        <v>64</v>
      </c>
      <c r="O13">
        <f t="shared" si="6"/>
        <v>24</v>
      </c>
      <c r="P13">
        <v>73</v>
      </c>
      <c r="Q13">
        <f t="shared" si="7"/>
        <v>15</v>
      </c>
      <c r="R13">
        <v>45</v>
      </c>
      <c r="S13">
        <f t="shared" si="8"/>
        <v>28</v>
      </c>
      <c r="T13">
        <v>59</v>
      </c>
      <c r="U13">
        <f t="shared" si="9"/>
        <v>26</v>
      </c>
      <c r="V13">
        <f t="shared" si="1"/>
        <v>538</v>
      </c>
      <c r="W13">
        <f t="shared" si="10"/>
        <v>27</v>
      </c>
    </row>
    <row r="14" spans="1:23" ht="15.75" x14ac:dyDescent="0.25">
      <c r="A14" s="2" t="s">
        <v>31</v>
      </c>
      <c r="B14" s="3" t="s">
        <v>32</v>
      </c>
      <c r="C14" t="s">
        <v>12</v>
      </c>
      <c r="D14">
        <v>52</v>
      </c>
      <c r="E14">
        <f t="shared" si="0"/>
        <v>26</v>
      </c>
      <c r="F14">
        <v>69</v>
      </c>
      <c r="G14">
        <f t="shared" si="2"/>
        <v>13</v>
      </c>
      <c r="H14">
        <v>98</v>
      </c>
      <c r="I14">
        <f t="shared" si="3"/>
        <v>1</v>
      </c>
      <c r="J14">
        <v>35</v>
      </c>
      <c r="K14">
        <f t="shared" si="4"/>
        <v>36</v>
      </c>
      <c r="L14">
        <v>65</v>
      </c>
      <c r="M14">
        <f t="shared" si="5"/>
        <v>18</v>
      </c>
      <c r="N14">
        <v>55</v>
      </c>
      <c r="O14">
        <f t="shared" si="6"/>
        <v>26</v>
      </c>
      <c r="P14">
        <v>35</v>
      </c>
      <c r="Q14">
        <f t="shared" si="7"/>
        <v>36</v>
      </c>
      <c r="R14">
        <v>69</v>
      </c>
      <c r="S14">
        <f t="shared" si="8"/>
        <v>16</v>
      </c>
      <c r="T14">
        <v>95</v>
      </c>
      <c r="U14">
        <f t="shared" si="9"/>
        <v>4</v>
      </c>
      <c r="V14">
        <f t="shared" si="1"/>
        <v>573</v>
      </c>
      <c r="W14">
        <f t="shared" si="10"/>
        <v>22</v>
      </c>
    </row>
    <row r="15" spans="1:23" ht="15.75" x14ac:dyDescent="0.25">
      <c r="A15" s="2" t="s">
        <v>33</v>
      </c>
      <c r="B15" s="3" t="s">
        <v>34</v>
      </c>
      <c r="C15" t="s">
        <v>12</v>
      </c>
      <c r="D15">
        <v>35</v>
      </c>
      <c r="E15">
        <f t="shared" si="0"/>
        <v>36</v>
      </c>
      <c r="F15">
        <v>87</v>
      </c>
      <c r="G15">
        <f t="shared" si="2"/>
        <v>3</v>
      </c>
      <c r="H15">
        <v>87</v>
      </c>
      <c r="I15">
        <f t="shared" si="3"/>
        <v>6</v>
      </c>
      <c r="J15">
        <v>37</v>
      </c>
      <c r="K15">
        <f t="shared" si="4"/>
        <v>35</v>
      </c>
      <c r="L15">
        <v>52</v>
      </c>
      <c r="M15">
        <f t="shared" si="5"/>
        <v>21</v>
      </c>
      <c r="N15">
        <v>45</v>
      </c>
      <c r="O15">
        <f t="shared" si="6"/>
        <v>29</v>
      </c>
      <c r="P15">
        <v>37</v>
      </c>
      <c r="Q15">
        <f t="shared" si="7"/>
        <v>35</v>
      </c>
      <c r="R15">
        <v>87</v>
      </c>
      <c r="S15">
        <f t="shared" si="8"/>
        <v>6</v>
      </c>
      <c r="T15">
        <v>95</v>
      </c>
      <c r="U15">
        <f t="shared" si="9"/>
        <v>4</v>
      </c>
      <c r="V15">
        <f t="shared" si="1"/>
        <v>562</v>
      </c>
      <c r="W15">
        <f t="shared" si="10"/>
        <v>24</v>
      </c>
    </row>
    <row r="16" spans="1:23" ht="15.75" x14ac:dyDescent="0.25">
      <c r="A16" s="2" t="s">
        <v>35</v>
      </c>
      <c r="B16" s="3" t="s">
        <v>36</v>
      </c>
      <c r="C16" t="s">
        <v>12</v>
      </c>
      <c r="D16">
        <v>54</v>
      </c>
      <c r="E16">
        <f t="shared" si="0"/>
        <v>25</v>
      </c>
      <c r="F16">
        <v>41</v>
      </c>
      <c r="G16">
        <f t="shared" si="2"/>
        <v>32</v>
      </c>
      <c r="H16">
        <v>45</v>
      </c>
      <c r="I16">
        <f t="shared" si="3"/>
        <v>28</v>
      </c>
      <c r="J16">
        <v>26</v>
      </c>
      <c r="K16">
        <f t="shared" si="4"/>
        <v>38</v>
      </c>
      <c r="L16">
        <v>35</v>
      </c>
      <c r="M16">
        <f t="shared" si="5"/>
        <v>34</v>
      </c>
      <c r="N16">
        <v>25</v>
      </c>
      <c r="O16">
        <f t="shared" si="6"/>
        <v>38</v>
      </c>
      <c r="P16">
        <v>45</v>
      </c>
      <c r="Q16">
        <f t="shared" si="7"/>
        <v>27</v>
      </c>
      <c r="R16">
        <v>41</v>
      </c>
      <c r="S16">
        <f t="shared" si="8"/>
        <v>34</v>
      </c>
      <c r="T16">
        <v>96</v>
      </c>
      <c r="U16">
        <f t="shared" si="9"/>
        <v>3</v>
      </c>
      <c r="V16">
        <f t="shared" si="1"/>
        <v>408</v>
      </c>
      <c r="W16">
        <f t="shared" si="10"/>
        <v>40</v>
      </c>
    </row>
    <row r="17" spans="1:23" ht="15.75" x14ac:dyDescent="0.25">
      <c r="A17" s="2" t="s">
        <v>37</v>
      </c>
      <c r="B17" s="3" t="s">
        <v>38</v>
      </c>
      <c r="C17" t="s">
        <v>12</v>
      </c>
      <c r="D17">
        <v>47</v>
      </c>
      <c r="E17">
        <f t="shared" si="0"/>
        <v>28</v>
      </c>
      <c r="F17">
        <v>23</v>
      </c>
      <c r="G17">
        <f t="shared" si="2"/>
        <v>39</v>
      </c>
      <c r="H17">
        <v>65</v>
      </c>
      <c r="I17">
        <f t="shared" si="3"/>
        <v>23</v>
      </c>
      <c r="J17">
        <v>68</v>
      </c>
      <c r="K17">
        <f t="shared" si="4"/>
        <v>19</v>
      </c>
      <c r="L17">
        <v>54</v>
      </c>
      <c r="M17">
        <f t="shared" si="5"/>
        <v>20</v>
      </c>
      <c r="N17">
        <v>45</v>
      </c>
      <c r="O17">
        <f t="shared" si="6"/>
        <v>29</v>
      </c>
      <c r="P17">
        <v>25</v>
      </c>
      <c r="Q17">
        <f t="shared" si="7"/>
        <v>38</v>
      </c>
      <c r="R17">
        <v>23</v>
      </c>
      <c r="S17">
        <f t="shared" si="8"/>
        <v>39</v>
      </c>
      <c r="T17">
        <v>93</v>
      </c>
      <c r="U17">
        <f t="shared" si="9"/>
        <v>6</v>
      </c>
      <c r="V17">
        <f t="shared" si="1"/>
        <v>443</v>
      </c>
      <c r="W17">
        <f t="shared" si="10"/>
        <v>38</v>
      </c>
    </row>
    <row r="18" spans="1:23" ht="15.75" x14ac:dyDescent="0.25">
      <c r="A18" s="2" t="s">
        <v>39</v>
      </c>
      <c r="B18" s="3" t="s">
        <v>40</v>
      </c>
      <c r="C18" t="s">
        <v>12</v>
      </c>
      <c r="D18">
        <v>74</v>
      </c>
      <c r="E18">
        <f t="shared" si="0"/>
        <v>15</v>
      </c>
      <c r="F18">
        <v>69</v>
      </c>
      <c r="G18">
        <f t="shared" si="2"/>
        <v>13</v>
      </c>
      <c r="H18">
        <v>54</v>
      </c>
      <c r="I18">
        <f t="shared" si="3"/>
        <v>27</v>
      </c>
      <c r="J18">
        <v>84</v>
      </c>
      <c r="K18">
        <f t="shared" si="4"/>
        <v>11</v>
      </c>
      <c r="L18">
        <v>47</v>
      </c>
      <c r="M18">
        <f t="shared" si="5"/>
        <v>23</v>
      </c>
      <c r="N18">
        <v>69</v>
      </c>
      <c r="O18">
        <f t="shared" si="6"/>
        <v>18</v>
      </c>
      <c r="P18">
        <v>45</v>
      </c>
      <c r="Q18">
        <f t="shared" si="7"/>
        <v>27</v>
      </c>
      <c r="R18">
        <v>69</v>
      </c>
      <c r="S18">
        <f t="shared" si="8"/>
        <v>16</v>
      </c>
      <c r="T18">
        <v>98</v>
      </c>
      <c r="U18">
        <f t="shared" si="9"/>
        <v>1</v>
      </c>
      <c r="V18">
        <f t="shared" si="1"/>
        <v>609</v>
      </c>
      <c r="W18">
        <f t="shared" si="10"/>
        <v>14</v>
      </c>
    </row>
    <row r="19" spans="1:23" ht="15.75" x14ac:dyDescent="0.25">
      <c r="A19" s="2" t="s">
        <v>41</v>
      </c>
      <c r="B19" s="3" t="s">
        <v>42</v>
      </c>
      <c r="C19" t="s">
        <v>12</v>
      </c>
      <c r="D19">
        <v>41</v>
      </c>
      <c r="E19">
        <f t="shared" si="0"/>
        <v>33</v>
      </c>
      <c r="F19">
        <v>98</v>
      </c>
      <c r="G19">
        <f t="shared" si="2"/>
        <v>1</v>
      </c>
      <c r="H19">
        <v>79</v>
      </c>
      <c r="I19">
        <f t="shared" si="3"/>
        <v>10</v>
      </c>
      <c r="J19">
        <v>42</v>
      </c>
      <c r="K19">
        <f t="shared" si="4"/>
        <v>32</v>
      </c>
      <c r="L19">
        <v>74</v>
      </c>
      <c r="M19">
        <f t="shared" si="5"/>
        <v>11</v>
      </c>
      <c r="N19">
        <v>87</v>
      </c>
      <c r="O19">
        <f t="shared" si="6"/>
        <v>9</v>
      </c>
      <c r="P19">
        <v>69</v>
      </c>
      <c r="Q19">
        <f t="shared" si="7"/>
        <v>16</v>
      </c>
      <c r="R19">
        <v>95</v>
      </c>
      <c r="S19">
        <f t="shared" si="8"/>
        <v>3</v>
      </c>
      <c r="T19">
        <v>89</v>
      </c>
      <c r="U19">
        <f t="shared" si="9"/>
        <v>7</v>
      </c>
      <c r="V19">
        <f t="shared" si="1"/>
        <v>674</v>
      </c>
      <c r="W19">
        <f t="shared" si="10"/>
        <v>2</v>
      </c>
    </row>
    <row r="20" spans="1:23" ht="15.75" x14ac:dyDescent="0.25">
      <c r="A20" s="2" t="s">
        <v>43</v>
      </c>
      <c r="B20" s="3" t="s">
        <v>44</v>
      </c>
      <c r="C20" t="s">
        <v>12</v>
      </c>
      <c r="D20">
        <v>51</v>
      </c>
      <c r="E20">
        <f t="shared" si="0"/>
        <v>27</v>
      </c>
      <c r="F20">
        <v>87</v>
      </c>
      <c r="G20">
        <f t="shared" si="2"/>
        <v>3</v>
      </c>
      <c r="H20">
        <v>75</v>
      </c>
      <c r="I20">
        <f t="shared" si="3"/>
        <v>15</v>
      </c>
      <c r="J20">
        <v>65</v>
      </c>
      <c r="K20">
        <f t="shared" si="4"/>
        <v>20</v>
      </c>
      <c r="L20">
        <v>41</v>
      </c>
      <c r="M20">
        <f t="shared" si="5"/>
        <v>30</v>
      </c>
      <c r="N20">
        <v>41</v>
      </c>
      <c r="O20">
        <f t="shared" si="6"/>
        <v>34</v>
      </c>
      <c r="P20">
        <v>87</v>
      </c>
      <c r="Q20">
        <f t="shared" si="7"/>
        <v>8</v>
      </c>
      <c r="R20">
        <v>96</v>
      </c>
      <c r="S20">
        <f t="shared" si="8"/>
        <v>2</v>
      </c>
      <c r="T20">
        <v>87</v>
      </c>
      <c r="U20">
        <f t="shared" si="9"/>
        <v>9</v>
      </c>
      <c r="V20">
        <f t="shared" si="1"/>
        <v>630</v>
      </c>
      <c r="W20">
        <f t="shared" si="10"/>
        <v>8</v>
      </c>
    </row>
    <row r="21" spans="1:23" ht="15.75" x14ac:dyDescent="0.25">
      <c r="A21" s="2" t="s">
        <v>45</v>
      </c>
      <c r="B21" s="3" t="s">
        <v>46</v>
      </c>
      <c r="C21" t="s">
        <v>12</v>
      </c>
      <c r="D21">
        <v>59</v>
      </c>
      <c r="E21">
        <f t="shared" si="0"/>
        <v>23</v>
      </c>
      <c r="F21">
        <v>45</v>
      </c>
      <c r="G21">
        <f t="shared" si="2"/>
        <v>25</v>
      </c>
      <c r="H21">
        <v>73</v>
      </c>
      <c r="I21">
        <f t="shared" si="3"/>
        <v>17</v>
      </c>
      <c r="J21">
        <v>64</v>
      </c>
      <c r="K21">
        <f t="shared" si="4"/>
        <v>22</v>
      </c>
      <c r="L21">
        <v>51</v>
      </c>
      <c r="M21">
        <f t="shared" si="5"/>
        <v>22</v>
      </c>
      <c r="N21">
        <v>23</v>
      </c>
      <c r="O21">
        <f t="shared" si="6"/>
        <v>39</v>
      </c>
      <c r="P21">
        <v>41</v>
      </c>
      <c r="Q21">
        <f t="shared" si="7"/>
        <v>34</v>
      </c>
      <c r="R21">
        <v>93</v>
      </c>
      <c r="S21">
        <f t="shared" si="8"/>
        <v>4</v>
      </c>
      <c r="T21">
        <v>78</v>
      </c>
      <c r="U21">
        <f t="shared" si="9"/>
        <v>16</v>
      </c>
      <c r="V21">
        <f t="shared" si="1"/>
        <v>527</v>
      </c>
      <c r="W21">
        <f t="shared" si="10"/>
        <v>29</v>
      </c>
    </row>
    <row r="22" spans="1:23" ht="15.75" x14ac:dyDescent="0.25">
      <c r="A22" s="2" t="s">
        <v>47</v>
      </c>
      <c r="B22" s="3" t="s">
        <v>48</v>
      </c>
      <c r="C22" t="s">
        <v>12</v>
      </c>
      <c r="D22">
        <v>95</v>
      </c>
      <c r="E22">
        <f t="shared" si="0"/>
        <v>4</v>
      </c>
      <c r="F22">
        <v>65</v>
      </c>
      <c r="G22">
        <f t="shared" si="2"/>
        <v>18</v>
      </c>
      <c r="H22">
        <v>35</v>
      </c>
      <c r="I22">
        <f t="shared" si="3"/>
        <v>35</v>
      </c>
      <c r="J22">
        <v>55</v>
      </c>
      <c r="K22">
        <f t="shared" si="4"/>
        <v>24</v>
      </c>
      <c r="L22">
        <v>75</v>
      </c>
      <c r="M22">
        <f t="shared" si="5"/>
        <v>10</v>
      </c>
      <c r="N22">
        <v>69</v>
      </c>
      <c r="O22">
        <f t="shared" si="6"/>
        <v>18</v>
      </c>
      <c r="P22">
        <v>23</v>
      </c>
      <c r="Q22">
        <f t="shared" si="7"/>
        <v>40</v>
      </c>
      <c r="R22">
        <v>98</v>
      </c>
      <c r="S22">
        <f t="shared" si="8"/>
        <v>1</v>
      </c>
      <c r="T22">
        <v>79</v>
      </c>
      <c r="U22">
        <f t="shared" si="9"/>
        <v>14</v>
      </c>
      <c r="V22">
        <f t="shared" si="1"/>
        <v>594</v>
      </c>
      <c r="W22">
        <f t="shared" si="10"/>
        <v>17</v>
      </c>
    </row>
    <row r="23" spans="1:23" ht="15.75" x14ac:dyDescent="0.25">
      <c r="A23" s="2" t="s">
        <v>49</v>
      </c>
      <c r="B23" s="3" t="s">
        <v>50</v>
      </c>
      <c r="C23" t="s">
        <v>12</v>
      </c>
      <c r="D23">
        <v>95</v>
      </c>
      <c r="E23">
        <f t="shared" si="0"/>
        <v>4</v>
      </c>
      <c r="F23">
        <v>52</v>
      </c>
      <c r="G23">
        <f t="shared" si="2"/>
        <v>23</v>
      </c>
      <c r="H23">
        <v>37</v>
      </c>
      <c r="I23">
        <f t="shared" si="3"/>
        <v>33</v>
      </c>
      <c r="J23">
        <v>45</v>
      </c>
      <c r="K23">
        <f t="shared" si="4"/>
        <v>29</v>
      </c>
      <c r="L23">
        <v>73</v>
      </c>
      <c r="M23">
        <f t="shared" si="5"/>
        <v>12</v>
      </c>
      <c r="N23">
        <v>98</v>
      </c>
      <c r="O23">
        <f t="shared" si="6"/>
        <v>1</v>
      </c>
      <c r="P23">
        <v>69</v>
      </c>
      <c r="Q23">
        <f t="shared" si="7"/>
        <v>16</v>
      </c>
      <c r="R23">
        <v>89</v>
      </c>
      <c r="S23">
        <f t="shared" si="8"/>
        <v>5</v>
      </c>
      <c r="T23">
        <v>75</v>
      </c>
      <c r="U23">
        <f t="shared" si="9"/>
        <v>18</v>
      </c>
      <c r="V23">
        <f t="shared" si="1"/>
        <v>633</v>
      </c>
      <c r="W23">
        <f t="shared" si="10"/>
        <v>7</v>
      </c>
    </row>
    <row r="24" spans="1:23" ht="15.75" x14ac:dyDescent="0.25">
      <c r="A24" s="2" t="s">
        <v>51</v>
      </c>
      <c r="B24" s="3" t="s">
        <v>52</v>
      </c>
      <c r="C24" t="s">
        <v>12</v>
      </c>
      <c r="D24">
        <v>96</v>
      </c>
      <c r="E24">
        <f t="shared" si="0"/>
        <v>3</v>
      </c>
      <c r="F24">
        <v>84</v>
      </c>
      <c r="G24">
        <f t="shared" si="2"/>
        <v>7</v>
      </c>
      <c r="H24">
        <v>26</v>
      </c>
      <c r="I24">
        <f t="shared" si="3"/>
        <v>37</v>
      </c>
      <c r="J24">
        <v>25</v>
      </c>
      <c r="K24">
        <f t="shared" si="4"/>
        <v>39</v>
      </c>
      <c r="L24">
        <v>35</v>
      </c>
      <c r="M24">
        <f t="shared" si="5"/>
        <v>34</v>
      </c>
      <c r="N24">
        <v>87</v>
      </c>
      <c r="O24">
        <f t="shared" si="6"/>
        <v>9</v>
      </c>
      <c r="P24">
        <v>98</v>
      </c>
      <c r="Q24">
        <f t="shared" si="7"/>
        <v>1</v>
      </c>
      <c r="R24">
        <v>87</v>
      </c>
      <c r="S24">
        <f t="shared" si="8"/>
        <v>6</v>
      </c>
      <c r="T24">
        <v>73</v>
      </c>
      <c r="U24">
        <f t="shared" si="9"/>
        <v>20</v>
      </c>
      <c r="V24">
        <f t="shared" si="1"/>
        <v>611</v>
      </c>
      <c r="W24">
        <f t="shared" si="10"/>
        <v>13</v>
      </c>
    </row>
    <row r="25" spans="1:23" ht="15.75" x14ac:dyDescent="0.25">
      <c r="A25" s="2" t="s">
        <v>53</v>
      </c>
      <c r="B25" s="3" t="s">
        <v>54</v>
      </c>
      <c r="C25" t="s">
        <v>12</v>
      </c>
      <c r="D25">
        <v>93</v>
      </c>
      <c r="E25">
        <f t="shared" si="0"/>
        <v>6</v>
      </c>
      <c r="F25">
        <v>42</v>
      </c>
      <c r="G25">
        <f t="shared" si="2"/>
        <v>31</v>
      </c>
      <c r="H25">
        <v>68</v>
      </c>
      <c r="I25">
        <f t="shared" si="3"/>
        <v>21</v>
      </c>
      <c r="J25">
        <v>45</v>
      </c>
      <c r="K25">
        <f t="shared" si="4"/>
        <v>29</v>
      </c>
      <c r="L25">
        <v>37</v>
      </c>
      <c r="M25">
        <f t="shared" si="5"/>
        <v>33</v>
      </c>
      <c r="N25">
        <v>45</v>
      </c>
      <c r="O25">
        <f t="shared" si="6"/>
        <v>29</v>
      </c>
      <c r="P25">
        <v>87</v>
      </c>
      <c r="Q25">
        <f t="shared" si="7"/>
        <v>8</v>
      </c>
      <c r="R25">
        <v>78</v>
      </c>
      <c r="S25">
        <f t="shared" si="8"/>
        <v>13</v>
      </c>
      <c r="T25">
        <v>35</v>
      </c>
      <c r="U25">
        <f t="shared" si="9"/>
        <v>36</v>
      </c>
      <c r="V25">
        <f t="shared" si="1"/>
        <v>530</v>
      </c>
      <c r="W25">
        <f t="shared" si="10"/>
        <v>28</v>
      </c>
    </row>
    <row r="26" spans="1:23" ht="15.75" x14ac:dyDescent="0.25">
      <c r="A26" s="2" t="s">
        <v>55</v>
      </c>
      <c r="B26" s="3" t="s">
        <v>56</v>
      </c>
      <c r="C26" t="s">
        <v>12</v>
      </c>
      <c r="D26">
        <v>98</v>
      </c>
      <c r="E26">
        <f t="shared" si="0"/>
        <v>1</v>
      </c>
      <c r="F26">
        <v>65</v>
      </c>
      <c r="G26">
        <f t="shared" si="2"/>
        <v>18</v>
      </c>
      <c r="H26">
        <v>78</v>
      </c>
      <c r="I26">
        <f t="shared" si="3"/>
        <v>13</v>
      </c>
      <c r="J26">
        <v>69</v>
      </c>
      <c r="K26">
        <f t="shared" si="4"/>
        <v>17</v>
      </c>
      <c r="L26">
        <v>26</v>
      </c>
      <c r="M26">
        <f t="shared" si="5"/>
        <v>36</v>
      </c>
      <c r="N26">
        <v>65</v>
      </c>
      <c r="O26">
        <f t="shared" si="6"/>
        <v>21</v>
      </c>
      <c r="P26">
        <v>45</v>
      </c>
      <c r="Q26">
        <f t="shared" si="7"/>
        <v>27</v>
      </c>
      <c r="R26">
        <v>79</v>
      </c>
      <c r="S26">
        <f t="shared" si="8"/>
        <v>12</v>
      </c>
      <c r="T26">
        <v>37</v>
      </c>
      <c r="U26">
        <f t="shared" si="9"/>
        <v>35</v>
      </c>
      <c r="V26">
        <f t="shared" si="1"/>
        <v>562</v>
      </c>
      <c r="W26">
        <f t="shared" si="10"/>
        <v>24</v>
      </c>
    </row>
    <row r="27" spans="1:23" ht="15.75" x14ac:dyDescent="0.25">
      <c r="A27" s="2" t="s">
        <v>57</v>
      </c>
      <c r="B27" s="3" t="s">
        <v>58</v>
      </c>
      <c r="C27" t="s">
        <v>12</v>
      </c>
      <c r="D27">
        <v>89</v>
      </c>
      <c r="E27">
        <f t="shared" si="0"/>
        <v>7</v>
      </c>
      <c r="F27">
        <v>64</v>
      </c>
      <c r="G27">
        <f t="shared" si="2"/>
        <v>21</v>
      </c>
      <c r="H27">
        <v>79</v>
      </c>
      <c r="I27">
        <f t="shared" si="3"/>
        <v>10</v>
      </c>
      <c r="J27">
        <v>87</v>
      </c>
      <c r="K27">
        <f t="shared" si="4"/>
        <v>8</v>
      </c>
      <c r="L27">
        <v>68</v>
      </c>
      <c r="M27">
        <f t="shared" si="5"/>
        <v>17</v>
      </c>
      <c r="N27">
        <v>47</v>
      </c>
      <c r="O27">
        <f t="shared" si="6"/>
        <v>28</v>
      </c>
      <c r="P27">
        <v>65</v>
      </c>
      <c r="Q27">
        <f t="shared" si="7"/>
        <v>18</v>
      </c>
      <c r="R27">
        <v>75</v>
      </c>
      <c r="S27">
        <f t="shared" si="8"/>
        <v>14</v>
      </c>
      <c r="T27">
        <v>45</v>
      </c>
      <c r="U27">
        <f t="shared" si="9"/>
        <v>29</v>
      </c>
      <c r="V27">
        <f t="shared" si="1"/>
        <v>619</v>
      </c>
      <c r="W27">
        <f t="shared" si="10"/>
        <v>9</v>
      </c>
    </row>
    <row r="28" spans="1:23" ht="15.75" x14ac:dyDescent="0.25">
      <c r="A28" s="2" t="s">
        <v>59</v>
      </c>
      <c r="B28" s="3" t="s">
        <v>60</v>
      </c>
      <c r="C28" t="s">
        <v>12</v>
      </c>
      <c r="D28">
        <v>87</v>
      </c>
      <c r="E28">
        <f t="shared" si="0"/>
        <v>8</v>
      </c>
      <c r="F28">
        <v>55</v>
      </c>
      <c r="G28">
        <f t="shared" si="2"/>
        <v>22</v>
      </c>
      <c r="H28">
        <v>45</v>
      </c>
      <c r="I28">
        <f t="shared" si="3"/>
        <v>28</v>
      </c>
      <c r="J28">
        <v>41</v>
      </c>
      <c r="K28">
        <f t="shared" si="4"/>
        <v>33</v>
      </c>
      <c r="L28">
        <v>78</v>
      </c>
      <c r="M28">
        <f t="shared" si="5"/>
        <v>9</v>
      </c>
      <c r="N28">
        <v>59</v>
      </c>
      <c r="O28">
        <f t="shared" si="6"/>
        <v>25</v>
      </c>
      <c r="P28">
        <v>52</v>
      </c>
      <c r="Q28">
        <f t="shared" si="7"/>
        <v>25</v>
      </c>
      <c r="R28">
        <v>73</v>
      </c>
      <c r="S28">
        <f t="shared" si="8"/>
        <v>15</v>
      </c>
      <c r="T28">
        <v>25</v>
      </c>
      <c r="U28">
        <f t="shared" si="9"/>
        <v>38</v>
      </c>
      <c r="V28">
        <f t="shared" si="1"/>
        <v>515</v>
      </c>
      <c r="W28">
        <f t="shared" si="10"/>
        <v>31</v>
      </c>
    </row>
    <row r="29" spans="1:23" ht="15.75" x14ac:dyDescent="0.25">
      <c r="A29" s="2" t="s">
        <v>61</v>
      </c>
      <c r="B29" s="3" t="s">
        <v>62</v>
      </c>
      <c r="C29" t="s">
        <v>12</v>
      </c>
      <c r="D29">
        <v>78</v>
      </c>
      <c r="E29">
        <f t="shared" si="0"/>
        <v>13</v>
      </c>
      <c r="F29">
        <v>45</v>
      </c>
      <c r="G29">
        <f t="shared" si="2"/>
        <v>25</v>
      </c>
      <c r="H29">
        <v>25</v>
      </c>
      <c r="I29">
        <f t="shared" si="3"/>
        <v>39</v>
      </c>
      <c r="J29">
        <v>23</v>
      </c>
      <c r="K29">
        <f t="shared" si="4"/>
        <v>40</v>
      </c>
      <c r="L29">
        <v>79</v>
      </c>
      <c r="M29">
        <f t="shared" si="5"/>
        <v>8</v>
      </c>
      <c r="N29">
        <v>95</v>
      </c>
      <c r="O29">
        <f t="shared" si="6"/>
        <v>5</v>
      </c>
      <c r="P29">
        <v>35</v>
      </c>
      <c r="Q29">
        <f t="shared" si="7"/>
        <v>36</v>
      </c>
      <c r="R29">
        <v>35</v>
      </c>
      <c r="S29">
        <f t="shared" si="8"/>
        <v>37</v>
      </c>
      <c r="T29">
        <v>45</v>
      </c>
      <c r="U29">
        <f t="shared" si="9"/>
        <v>29</v>
      </c>
      <c r="V29">
        <f t="shared" si="1"/>
        <v>460</v>
      </c>
      <c r="W29">
        <f t="shared" si="10"/>
        <v>36</v>
      </c>
    </row>
    <row r="30" spans="1:23" ht="15.75" x14ac:dyDescent="0.25">
      <c r="A30" s="2" t="s">
        <v>63</v>
      </c>
      <c r="B30" s="3" t="s">
        <v>64</v>
      </c>
      <c r="C30" t="s">
        <v>12</v>
      </c>
      <c r="D30">
        <v>79</v>
      </c>
      <c r="E30">
        <f t="shared" si="0"/>
        <v>12</v>
      </c>
      <c r="F30">
        <v>25</v>
      </c>
      <c r="G30">
        <f t="shared" si="2"/>
        <v>37</v>
      </c>
      <c r="H30">
        <v>45</v>
      </c>
      <c r="I30">
        <f t="shared" si="3"/>
        <v>28</v>
      </c>
      <c r="J30">
        <v>69</v>
      </c>
      <c r="K30">
        <f t="shared" si="4"/>
        <v>17</v>
      </c>
      <c r="L30">
        <v>45</v>
      </c>
      <c r="M30">
        <f t="shared" si="5"/>
        <v>24</v>
      </c>
      <c r="N30">
        <v>95</v>
      </c>
      <c r="O30">
        <f t="shared" si="6"/>
        <v>5</v>
      </c>
      <c r="P30">
        <v>54</v>
      </c>
      <c r="Q30">
        <f t="shared" si="7"/>
        <v>24</v>
      </c>
      <c r="R30">
        <v>37</v>
      </c>
      <c r="S30">
        <f t="shared" si="8"/>
        <v>36</v>
      </c>
      <c r="T30">
        <v>69</v>
      </c>
      <c r="U30">
        <f t="shared" si="9"/>
        <v>21</v>
      </c>
      <c r="V30">
        <f t="shared" si="1"/>
        <v>518</v>
      </c>
      <c r="W30">
        <f t="shared" si="10"/>
        <v>30</v>
      </c>
    </row>
    <row r="31" spans="1:23" ht="15.75" x14ac:dyDescent="0.25">
      <c r="A31" s="2" t="s">
        <v>65</v>
      </c>
      <c r="B31" s="3" t="s">
        <v>66</v>
      </c>
      <c r="C31" t="s">
        <v>12</v>
      </c>
      <c r="D31">
        <v>75</v>
      </c>
      <c r="E31">
        <f t="shared" si="0"/>
        <v>14</v>
      </c>
      <c r="F31">
        <v>45</v>
      </c>
      <c r="G31">
        <f t="shared" si="2"/>
        <v>25</v>
      </c>
      <c r="H31">
        <v>96</v>
      </c>
      <c r="I31">
        <f t="shared" si="3"/>
        <v>3</v>
      </c>
      <c r="J31">
        <v>98</v>
      </c>
      <c r="K31">
        <f t="shared" si="4"/>
        <v>1</v>
      </c>
      <c r="L31">
        <v>25</v>
      </c>
      <c r="M31">
        <f t="shared" si="5"/>
        <v>37</v>
      </c>
      <c r="N31">
        <v>96</v>
      </c>
      <c r="O31">
        <f t="shared" si="6"/>
        <v>4</v>
      </c>
      <c r="P31">
        <v>87</v>
      </c>
      <c r="Q31">
        <f t="shared" si="7"/>
        <v>8</v>
      </c>
      <c r="R31">
        <v>45</v>
      </c>
      <c r="S31">
        <f t="shared" si="8"/>
        <v>28</v>
      </c>
      <c r="T31">
        <v>87</v>
      </c>
      <c r="U31">
        <f t="shared" si="9"/>
        <v>9</v>
      </c>
      <c r="V31">
        <f t="shared" si="1"/>
        <v>654</v>
      </c>
      <c r="W31">
        <f t="shared" si="10"/>
        <v>3</v>
      </c>
    </row>
    <row r="32" spans="1:23" ht="15.75" x14ac:dyDescent="0.25">
      <c r="A32" s="2" t="s">
        <v>67</v>
      </c>
      <c r="B32" s="3" t="s">
        <v>68</v>
      </c>
      <c r="C32" t="s">
        <v>12</v>
      </c>
      <c r="D32">
        <v>73</v>
      </c>
      <c r="E32">
        <f t="shared" si="0"/>
        <v>16</v>
      </c>
      <c r="F32">
        <v>69</v>
      </c>
      <c r="G32">
        <f t="shared" si="2"/>
        <v>13</v>
      </c>
      <c r="H32">
        <v>93</v>
      </c>
      <c r="I32">
        <f t="shared" si="3"/>
        <v>4</v>
      </c>
      <c r="J32">
        <v>87</v>
      </c>
      <c r="K32">
        <f t="shared" si="4"/>
        <v>8</v>
      </c>
      <c r="L32">
        <v>45</v>
      </c>
      <c r="M32">
        <f t="shared" si="5"/>
        <v>24</v>
      </c>
      <c r="N32">
        <v>93</v>
      </c>
      <c r="O32">
        <f t="shared" si="6"/>
        <v>7</v>
      </c>
      <c r="P32">
        <v>45</v>
      </c>
      <c r="Q32">
        <f t="shared" si="7"/>
        <v>27</v>
      </c>
      <c r="R32">
        <v>45</v>
      </c>
      <c r="S32">
        <f t="shared" si="8"/>
        <v>28</v>
      </c>
      <c r="T32">
        <v>41</v>
      </c>
      <c r="U32">
        <f t="shared" si="9"/>
        <v>33</v>
      </c>
      <c r="V32">
        <f t="shared" si="1"/>
        <v>591</v>
      </c>
      <c r="W32">
        <f t="shared" si="10"/>
        <v>18</v>
      </c>
    </row>
    <row r="33" spans="1:23" ht="15.75" x14ac:dyDescent="0.25">
      <c r="A33" s="2" t="s">
        <v>69</v>
      </c>
      <c r="B33" s="3" t="s">
        <v>70</v>
      </c>
      <c r="C33" t="s">
        <v>12</v>
      </c>
      <c r="D33">
        <v>35</v>
      </c>
      <c r="E33">
        <f t="shared" si="0"/>
        <v>36</v>
      </c>
      <c r="F33">
        <v>87</v>
      </c>
      <c r="G33">
        <f t="shared" si="2"/>
        <v>3</v>
      </c>
      <c r="H33">
        <v>98</v>
      </c>
      <c r="I33">
        <f t="shared" si="3"/>
        <v>1</v>
      </c>
      <c r="J33">
        <v>45</v>
      </c>
      <c r="K33">
        <f t="shared" si="4"/>
        <v>29</v>
      </c>
      <c r="L33">
        <v>69</v>
      </c>
      <c r="M33">
        <f t="shared" si="5"/>
        <v>13</v>
      </c>
      <c r="N33">
        <v>98</v>
      </c>
      <c r="O33">
        <f t="shared" si="6"/>
        <v>1</v>
      </c>
      <c r="P33">
        <v>65</v>
      </c>
      <c r="Q33">
        <f t="shared" si="7"/>
        <v>18</v>
      </c>
      <c r="R33">
        <v>69</v>
      </c>
      <c r="S33">
        <f t="shared" si="8"/>
        <v>16</v>
      </c>
      <c r="T33">
        <v>23</v>
      </c>
      <c r="U33">
        <f t="shared" si="9"/>
        <v>39</v>
      </c>
      <c r="V33">
        <f t="shared" si="1"/>
        <v>589</v>
      </c>
      <c r="W33">
        <f t="shared" si="10"/>
        <v>19</v>
      </c>
    </row>
    <row r="34" spans="1:23" ht="15.75" x14ac:dyDescent="0.25">
      <c r="A34" s="2" t="s">
        <v>71</v>
      </c>
      <c r="B34" s="3" t="s">
        <v>72</v>
      </c>
      <c r="C34" t="s">
        <v>12</v>
      </c>
      <c r="D34">
        <v>37</v>
      </c>
      <c r="E34">
        <f t="shared" si="0"/>
        <v>35</v>
      </c>
      <c r="F34">
        <v>41</v>
      </c>
      <c r="G34">
        <f t="shared" si="2"/>
        <v>32</v>
      </c>
      <c r="H34">
        <v>89</v>
      </c>
      <c r="I34">
        <f t="shared" si="3"/>
        <v>5</v>
      </c>
      <c r="J34">
        <v>65</v>
      </c>
      <c r="K34">
        <f t="shared" si="4"/>
        <v>20</v>
      </c>
      <c r="L34">
        <v>87</v>
      </c>
      <c r="M34">
        <f t="shared" si="5"/>
        <v>3</v>
      </c>
      <c r="N34">
        <v>89</v>
      </c>
      <c r="O34">
        <f t="shared" si="6"/>
        <v>8</v>
      </c>
      <c r="P34">
        <v>52</v>
      </c>
      <c r="Q34">
        <f t="shared" si="7"/>
        <v>25</v>
      </c>
      <c r="R34">
        <v>87</v>
      </c>
      <c r="S34">
        <f t="shared" si="8"/>
        <v>6</v>
      </c>
      <c r="T34">
        <v>69</v>
      </c>
      <c r="U34">
        <f t="shared" si="9"/>
        <v>21</v>
      </c>
      <c r="V34">
        <f t="shared" si="1"/>
        <v>616</v>
      </c>
      <c r="W34">
        <f t="shared" si="10"/>
        <v>11</v>
      </c>
    </row>
    <row r="35" spans="1:23" ht="15.75" x14ac:dyDescent="0.25">
      <c r="A35" s="2" t="s">
        <v>73</v>
      </c>
      <c r="B35" s="3" t="s">
        <v>74</v>
      </c>
      <c r="C35" t="s">
        <v>12</v>
      </c>
      <c r="D35">
        <v>26</v>
      </c>
      <c r="E35">
        <f t="shared" si="0"/>
        <v>38</v>
      </c>
      <c r="F35">
        <v>23</v>
      </c>
      <c r="G35">
        <f t="shared" si="2"/>
        <v>39</v>
      </c>
      <c r="H35">
        <v>87</v>
      </c>
      <c r="I35">
        <f t="shared" si="3"/>
        <v>6</v>
      </c>
      <c r="J35">
        <v>52</v>
      </c>
      <c r="K35">
        <f t="shared" si="4"/>
        <v>26</v>
      </c>
      <c r="L35">
        <v>41</v>
      </c>
      <c r="M35">
        <f t="shared" si="5"/>
        <v>30</v>
      </c>
      <c r="N35">
        <v>87</v>
      </c>
      <c r="O35">
        <f t="shared" si="6"/>
        <v>9</v>
      </c>
      <c r="P35">
        <v>45</v>
      </c>
      <c r="Q35">
        <f t="shared" si="7"/>
        <v>27</v>
      </c>
      <c r="R35">
        <v>41</v>
      </c>
      <c r="S35">
        <f t="shared" si="8"/>
        <v>34</v>
      </c>
      <c r="T35">
        <v>98</v>
      </c>
      <c r="U35">
        <f t="shared" si="9"/>
        <v>1</v>
      </c>
      <c r="V35">
        <f t="shared" si="1"/>
        <v>500</v>
      </c>
      <c r="W35">
        <f t="shared" si="10"/>
        <v>33</v>
      </c>
    </row>
    <row r="36" spans="1:23" ht="15.75" x14ac:dyDescent="0.25">
      <c r="A36" s="2" t="s">
        <v>75</v>
      </c>
      <c r="B36" s="3" t="s">
        <v>76</v>
      </c>
      <c r="C36" t="s">
        <v>12</v>
      </c>
      <c r="D36">
        <v>68</v>
      </c>
      <c r="E36">
        <f t="shared" si="0"/>
        <v>19</v>
      </c>
      <c r="F36">
        <v>69</v>
      </c>
      <c r="G36">
        <f t="shared" si="2"/>
        <v>13</v>
      </c>
      <c r="H36">
        <v>78</v>
      </c>
      <c r="I36">
        <f t="shared" si="3"/>
        <v>13</v>
      </c>
      <c r="J36">
        <v>35</v>
      </c>
      <c r="K36">
        <f t="shared" si="4"/>
        <v>36</v>
      </c>
      <c r="L36">
        <v>23</v>
      </c>
      <c r="M36">
        <f t="shared" si="5"/>
        <v>39</v>
      </c>
      <c r="N36">
        <v>78</v>
      </c>
      <c r="O36">
        <f t="shared" si="6"/>
        <v>15</v>
      </c>
      <c r="P36">
        <v>42</v>
      </c>
      <c r="Q36">
        <f t="shared" si="7"/>
        <v>33</v>
      </c>
      <c r="R36">
        <v>23</v>
      </c>
      <c r="S36">
        <f t="shared" si="8"/>
        <v>39</v>
      </c>
      <c r="T36">
        <v>87</v>
      </c>
      <c r="U36">
        <f t="shared" si="9"/>
        <v>9</v>
      </c>
      <c r="V36">
        <f t="shared" si="1"/>
        <v>503</v>
      </c>
      <c r="W36">
        <f t="shared" si="10"/>
        <v>32</v>
      </c>
    </row>
    <row r="37" spans="1:23" ht="15.75" x14ac:dyDescent="0.25">
      <c r="A37" s="2" t="s">
        <v>77</v>
      </c>
      <c r="B37" s="3" t="s">
        <v>78</v>
      </c>
      <c r="C37" t="s">
        <v>12</v>
      </c>
      <c r="D37">
        <v>84</v>
      </c>
      <c r="E37">
        <f t="shared" si="0"/>
        <v>11</v>
      </c>
      <c r="F37">
        <v>98</v>
      </c>
      <c r="G37">
        <f t="shared" si="2"/>
        <v>1</v>
      </c>
      <c r="H37">
        <v>79</v>
      </c>
      <c r="I37">
        <f t="shared" si="3"/>
        <v>10</v>
      </c>
      <c r="J37">
        <v>54</v>
      </c>
      <c r="K37">
        <f t="shared" si="4"/>
        <v>25</v>
      </c>
      <c r="L37">
        <v>69</v>
      </c>
      <c r="M37">
        <f t="shared" si="5"/>
        <v>13</v>
      </c>
      <c r="N37">
        <v>79</v>
      </c>
      <c r="O37">
        <f t="shared" si="6"/>
        <v>14</v>
      </c>
      <c r="P37">
        <v>65</v>
      </c>
      <c r="Q37">
        <f t="shared" si="7"/>
        <v>18</v>
      </c>
      <c r="R37">
        <v>69</v>
      </c>
      <c r="S37">
        <f t="shared" si="8"/>
        <v>16</v>
      </c>
      <c r="T37">
        <v>45</v>
      </c>
      <c r="U37">
        <f t="shared" si="9"/>
        <v>29</v>
      </c>
      <c r="V37">
        <f t="shared" si="1"/>
        <v>642</v>
      </c>
      <c r="W37">
        <f t="shared" si="10"/>
        <v>4</v>
      </c>
    </row>
    <row r="38" spans="1:23" ht="15.75" x14ac:dyDescent="0.25">
      <c r="A38" s="2" t="s">
        <v>79</v>
      </c>
      <c r="B38" s="3" t="s">
        <v>80</v>
      </c>
      <c r="C38" t="s">
        <v>12</v>
      </c>
      <c r="D38">
        <v>42</v>
      </c>
      <c r="E38">
        <f t="shared" si="0"/>
        <v>32</v>
      </c>
      <c r="F38">
        <v>87</v>
      </c>
      <c r="G38">
        <f t="shared" si="2"/>
        <v>3</v>
      </c>
      <c r="H38">
        <v>75</v>
      </c>
      <c r="I38">
        <f t="shared" si="3"/>
        <v>15</v>
      </c>
      <c r="J38">
        <v>47</v>
      </c>
      <c r="K38">
        <f t="shared" si="4"/>
        <v>28</v>
      </c>
      <c r="L38">
        <v>98</v>
      </c>
      <c r="M38">
        <f t="shared" si="5"/>
        <v>1</v>
      </c>
      <c r="N38">
        <v>75</v>
      </c>
      <c r="O38">
        <f t="shared" si="6"/>
        <v>16</v>
      </c>
      <c r="P38">
        <v>64</v>
      </c>
      <c r="Q38">
        <f t="shared" si="7"/>
        <v>21</v>
      </c>
      <c r="R38">
        <v>65</v>
      </c>
      <c r="S38">
        <f t="shared" si="8"/>
        <v>20</v>
      </c>
      <c r="T38">
        <v>65</v>
      </c>
      <c r="U38">
        <f t="shared" si="9"/>
        <v>25</v>
      </c>
      <c r="V38">
        <f t="shared" si="1"/>
        <v>618</v>
      </c>
      <c r="W38">
        <f t="shared" si="10"/>
        <v>10</v>
      </c>
    </row>
    <row r="39" spans="1:23" ht="15.75" x14ac:dyDescent="0.25">
      <c r="A39" s="2" t="s">
        <v>81</v>
      </c>
      <c r="B39" s="3" t="s">
        <v>82</v>
      </c>
      <c r="C39" t="s">
        <v>12</v>
      </c>
      <c r="D39">
        <v>65</v>
      </c>
      <c r="E39">
        <f t="shared" si="0"/>
        <v>20</v>
      </c>
      <c r="F39">
        <v>45</v>
      </c>
      <c r="G39">
        <f t="shared" si="2"/>
        <v>25</v>
      </c>
      <c r="H39">
        <v>73</v>
      </c>
      <c r="I39">
        <f t="shared" si="3"/>
        <v>17</v>
      </c>
      <c r="J39">
        <v>74</v>
      </c>
      <c r="K39">
        <f t="shared" si="4"/>
        <v>15</v>
      </c>
      <c r="L39">
        <v>87</v>
      </c>
      <c r="M39">
        <f t="shared" si="5"/>
        <v>3</v>
      </c>
      <c r="N39">
        <v>73</v>
      </c>
      <c r="O39">
        <f t="shared" si="6"/>
        <v>17</v>
      </c>
      <c r="P39">
        <v>55</v>
      </c>
      <c r="Q39">
        <f t="shared" si="7"/>
        <v>23</v>
      </c>
      <c r="R39">
        <v>85</v>
      </c>
      <c r="S39">
        <f t="shared" si="8"/>
        <v>10</v>
      </c>
      <c r="T39">
        <v>52</v>
      </c>
      <c r="U39">
        <f t="shared" si="9"/>
        <v>28</v>
      </c>
      <c r="V39">
        <f t="shared" si="1"/>
        <v>609</v>
      </c>
      <c r="W39">
        <f t="shared" si="10"/>
        <v>14</v>
      </c>
    </row>
    <row r="40" spans="1:23" ht="15.75" x14ac:dyDescent="0.25">
      <c r="A40" s="2" t="s">
        <v>83</v>
      </c>
      <c r="B40" s="3" t="s">
        <v>84</v>
      </c>
      <c r="C40" t="s">
        <v>12</v>
      </c>
      <c r="D40">
        <v>64</v>
      </c>
      <c r="E40">
        <f t="shared" si="0"/>
        <v>22</v>
      </c>
      <c r="F40">
        <v>65</v>
      </c>
      <c r="G40">
        <f t="shared" si="2"/>
        <v>18</v>
      </c>
      <c r="H40">
        <v>35</v>
      </c>
      <c r="I40">
        <f t="shared" si="3"/>
        <v>35</v>
      </c>
      <c r="J40">
        <v>41</v>
      </c>
      <c r="K40">
        <f t="shared" si="4"/>
        <v>33</v>
      </c>
      <c r="L40">
        <v>45</v>
      </c>
      <c r="M40">
        <f t="shared" si="5"/>
        <v>24</v>
      </c>
      <c r="N40">
        <v>35</v>
      </c>
      <c r="O40">
        <f t="shared" si="6"/>
        <v>37</v>
      </c>
      <c r="P40">
        <v>45</v>
      </c>
      <c r="Q40">
        <f t="shared" si="7"/>
        <v>27</v>
      </c>
      <c r="R40">
        <v>58</v>
      </c>
      <c r="S40">
        <f t="shared" si="8"/>
        <v>24</v>
      </c>
      <c r="T40">
        <v>35</v>
      </c>
      <c r="U40">
        <f t="shared" si="9"/>
        <v>36</v>
      </c>
      <c r="V40">
        <f t="shared" si="1"/>
        <v>423</v>
      </c>
      <c r="W40">
        <f t="shared" si="10"/>
        <v>39</v>
      </c>
    </row>
    <row r="41" spans="1:23" ht="15.75" x14ac:dyDescent="0.25">
      <c r="A41" s="2" t="s">
        <v>85</v>
      </c>
      <c r="B41" s="3" t="s">
        <v>86</v>
      </c>
      <c r="C41" t="s">
        <v>12</v>
      </c>
      <c r="D41">
        <v>55</v>
      </c>
      <c r="E41">
        <f t="shared" si="0"/>
        <v>24</v>
      </c>
      <c r="F41">
        <v>47</v>
      </c>
      <c r="G41">
        <f t="shared" si="2"/>
        <v>24</v>
      </c>
      <c r="H41">
        <v>37</v>
      </c>
      <c r="I41">
        <f t="shared" si="3"/>
        <v>33</v>
      </c>
      <c r="J41">
        <v>51</v>
      </c>
      <c r="K41">
        <f t="shared" si="4"/>
        <v>27</v>
      </c>
      <c r="L41">
        <v>87</v>
      </c>
      <c r="M41">
        <f t="shared" si="5"/>
        <v>3</v>
      </c>
      <c r="N41">
        <v>37</v>
      </c>
      <c r="O41">
        <f t="shared" si="6"/>
        <v>36</v>
      </c>
      <c r="P41">
        <v>25</v>
      </c>
      <c r="Q41">
        <f t="shared" si="7"/>
        <v>38</v>
      </c>
      <c r="R41">
        <v>52</v>
      </c>
      <c r="S41">
        <f t="shared" si="8"/>
        <v>26</v>
      </c>
      <c r="T41">
        <v>54</v>
      </c>
      <c r="U41">
        <f t="shared" si="9"/>
        <v>27</v>
      </c>
      <c r="V41">
        <f t="shared" si="1"/>
        <v>445</v>
      </c>
      <c r="W41">
        <f t="shared" si="10"/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226D-EF31-4854-8030-47D777F27B2B}">
  <sheetPr>
    <pageSetUpPr fitToPage="1"/>
  </sheetPr>
  <dimension ref="A1:O43"/>
  <sheetViews>
    <sheetView showGridLines="0" topLeftCell="A8" zoomScale="70" zoomScaleNormal="70" workbookViewId="0">
      <selection activeCell="D7" sqref="D7"/>
    </sheetView>
  </sheetViews>
  <sheetFormatPr defaultRowHeight="15" x14ac:dyDescent="0.25"/>
  <cols>
    <col min="1" max="1" width="4.7109375" customWidth="1"/>
    <col min="2" max="2" width="45.5703125" customWidth="1"/>
    <col min="3" max="3" width="1.7109375" customWidth="1"/>
    <col min="4" max="4" width="43.5703125" customWidth="1"/>
    <col min="5" max="5" width="29.42578125" customWidth="1"/>
    <col min="6" max="6" width="0.5703125" customWidth="1"/>
    <col min="7" max="7" width="36.28515625" customWidth="1"/>
    <col min="8" max="8" width="1.28515625" customWidth="1"/>
    <col min="9" max="9" width="19" customWidth="1"/>
    <col min="10" max="10" width="12.5703125" customWidth="1"/>
    <col min="15" max="15" width="9.140625" hidden="1" customWidth="1"/>
  </cols>
  <sheetData>
    <row r="1" spans="1:15" ht="15" customHeight="1" x14ac:dyDescent="0.25">
      <c r="A1" s="8"/>
      <c r="B1" s="36" t="s">
        <v>96</v>
      </c>
      <c r="C1" s="36"/>
      <c r="D1" s="36"/>
      <c r="E1" s="36"/>
      <c r="F1" s="36"/>
      <c r="G1" s="36"/>
      <c r="H1" s="36"/>
      <c r="I1" s="36"/>
    </row>
    <row r="2" spans="1:15" ht="44.25" customHeight="1" x14ac:dyDescent="0.25">
      <c r="A2" s="8"/>
      <c r="B2" s="36"/>
      <c r="C2" s="36"/>
      <c r="D2" s="36"/>
      <c r="E2" s="36"/>
      <c r="F2" s="36"/>
      <c r="G2" s="36"/>
      <c r="H2" s="36"/>
      <c r="I2" s="36"/>
    </row>
    <row r="3" spans="1:15" ht="38.25" customHeight="1" x14ac:dyDescent="0.25">
      <c r="A3" s="33" t="s">
        <v>138</v>
      </c>
      <c r="B3" s="33"/>
      <c r="C3" s="33"/>
      <c r="D3" s="33"/>
      <c r="E3" s="33"/>
      <c r="F3" s="33"/>
      <c r="G3" s="33"/>
      <c r="H3" s="33"/>
      <c r="I3" s="33"/>
      <c r="J3" s="1"/>
    </row>
    <row r="4" spans="1:15" ht="58.5" customHeight="1" x14ac:dyDescent="0.25">
      <c r="A4" s="35" t="s">
        <v>124</v>
      </c>
      <c r="B4" s="35"/>
      <c r="C4" s="35"/>
      <c r="D4" s="35"/>
      <c r="E4" s="35"/>
      <c r="F4" s="35"/>
      <c r="G4" s="35"/>
      <c r="H4" s="35"/>
      <c r="I4" s="35"/>
    </row>
    <row r="5" spans="1:15" ht="1.5" customHeight="1" x14ac:dyDescent="0.25">
      <c r="J5" s="4"/>
      <c r="K5" s="4"/>
      <c r="L5" s="4"/>
      <c r="M5" s="4"/>
      <c r="N5" s="4"/>
      <c r="O5" s="4"/>
    </row>
    <row r="6" spans="1:15" ht="24.75" customHeight="1" x14ac:dyDescent="0.25">
      <c r="J6" s="4"/>
      <c r="K6" s="4"/>
      <c r="L6" s="4"/>
      <c r="M6" s="4"/>
      <c r="N6" s="4"/>
      <c r="O6" s="4"/>
    </row>
    <row r="7" spans="1:15" ht="39.75" customHeight="1" x14ac:dyDescent="0.25">
      <c r="B7" s="26" t="s">
        <v>0</v>
      </c>
      <c r="C7" s="30" t="s">
        <v>92</v>
      </c>
      <c r="D7" s="27" t="s">
        <v>79</v>
      </c>
      <c r="E7" s="4"/>
      <c r="F7" s="4"/>
      <c r="G7" s="26" t="s">
        <v>95</v>
      </c>
      <c r="H7" s="31" t="s">
        <v>92</v>
      </c>
      <c r="I7" s="29">
        <f>VLOOKUP($D$7,DATATABLE,MATCH(G7,DATABASE!$A$1:$W$1,0),0)</f>
        <v>10</v>
      </c>
      <c r="J7" s="4"/>
      <c r="K7" s="4"/>
      <c r="L7" s="4"/>
      <c r="M7" s="4"/>
      <c r="N7" s="4"/>
      <c r="O7" s="4"/>
    </row>
    <row r="8" spans="1:15" ht="38.25" customHeight="1" x14ac:dyDescent="0.25">
      <c r="B8" s="26" t="s">
        <v>1</v>
      </c>
      <c r="C8" s="30" t="s">
        <v>92</v>
      </c>
      <c r="D8" s="27" t="str">
        <f>VLOOKUP($D$7,DATATABLE,MATCH(B8,DATABASE!$A$1:$W$1,0),0)</f>
        <v>Agyei Gyamfi Nana Jerry</v>
      </c>
      <c r="E8" s="4"/>
      <c r="F8" s="4"/>
      <c r="G8" s="28" t="s">
        <v>137</v>
      </c>
      <c r="H8" s="31" t="s">
        <v>92</v>
      </c>
      <c r="I8" s="29">
        <v>40</v>
      </c>
      <c r="J8" s="4"/>
      <c r="K8" s="4"/>
      <c r="L8" s="4"/>
      <c r="M8" s="4"/>
      <c r="N8" s="4"/>
      <c r="O8" s="4"/>
    </row>
    <row r="9" spans="1:15" ht="22.5" customHeight="1" x14ac:dyDescent="0.35">
      <c r="B9" s="26" t="s">
        <v>2</v>
      </c>
      <c r="C9" s="30" t="s">
        <v>92</v>
      </c>
      <c r="D9" s="27" t="str">
        <f>VLOOKUP($D$7,DATATABLE,MATCH(B9,DATABASE!$A$1:$W$1,0),0)</f>
        <v>FORM 1</v>
      </c>
      <c r="E9" s="4"/>
      <c r="F9" s="4"/>
      <c r="G9" s="11" t="s">
        <v>102</v>
      </c>
      <c r="H9" s="31" t="s">
        <v>92</v>
      </c>
      <c r="I9" s="15"/>
      <c r="J9" s="4"/>
      <c r="K9" s="4"/>
      <c r="L9" s="4"/>
      <c r="M9" s="4"/>
      <c r="N9" s="4"/>
      <c r="O9" s="4"/>
    </row>
    <row r="10" spans="1:15" ht="42.75" customHeight="1" x14ac:dyDescent="0.25">
      <c r="B10" s="26" t="s">
        <v>101</v>
      </c>
      <c r="C10" s="30" t="s">
        <v>92</v>
      </c>
      <c r="D10" s="27" t="s">
        <v>126</v>
      </c>
      <c r="E10" s="4"/>
      <c r="F10" s="4"/>
      <c r="G10" s="34" t="s">
        <v>104</v>
      </c>
      <c r="H10" s="34"/>
      <c r="I10" s="34"/>
      <c r="J10" s="4"/>
      <c r="K10" s="4"/>
      <c r="L10" s="4"/>
      <c r="M10" s="4"/>
      <c r="N10" s="4"/>
      <c r="O10" s="4"/>
    </row>
    <row r="11" spans="1:15" ht="13.5" customHeight="1" x14ac:dyDescent="0.25">
      <c r="B11" s="4"/>
      <c r="C11" s="30" t="s">
        <v>92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54.75" customHeight="1" x14ac:dyDescent="0.25">
      <c r="B12" s="4"/>
      <c r="C12" s="4"/>
      <c r="D12" s="14" t="s">
        <v>93</v>
      </c>
      <c r="E12" s="18" t="s">
        <v>99</v>
      </c>
      <c r="F12" s="18"/>
      <c r="G12" s="20" t="s">
        <v>136</v>
      </c>
      <c r="H12" s="20"/>
      <c r="I12" s="9" t="s">
        <v>94</v>
      </c>
      <c r="J12" s="9" t="s">
        <v>103</v>
      </c>
      <c r="K12" s="4"/>
      <c r="L12" s="4"/>
      <c r="M12" s="4"/>
      <c r="N12" s="4"/>
      <c r="O12" s="4"/>
    </row>
    <row r="13" spans="1:15" ht="23.25" x14ac:dyDescent="0.35">
      <c r="B13" s="4"/>
      <c r="C13" s="4"/>
      <c r="D13" s="12" t="s">
        <v>87</v>
      </c>
      <c r="E13" s="12">
        <f>VLOOKUP($D$7,DATATABLE,MATCH(D13,DATABASE!$A$1:$W$1,0),0)</f>
        <v>42</v>
      </c>
      <c r="F13" s="12" t="s">
        <v>127</v>
      </c>
      <c r="G13" s="12">
        <f>VLOOKUP($D$7,DATATABLE,MATCH(F13,DATABASE!$A$1:$W$1,0),0)</f>
        <v>32</v>
      </c>
      <c r="H13" s="40"/>
      <c r="I13" s="21" t="str">
        <f t="shared" ref="I13:I21" si="0">IF(E13&gt;89.9,"DISTINCTION",IF(E13&gt;79.9,"EXCELLENT",IF(E13&gt;69.9,"VERY GOOD",IF(E13&gt;64.9,"GOOD",IF(E13&gt;59.9,"CREDIT",IF(E13&gt;54.9,"CREDIT",IF(E13&gt;49.9,"PASS",IF(E13&gt;39.9,"PASS",IF(E13&gt;0,"FAIL",IF(E13=0,"N/A",))))))))))</f>
        <v>PASS</v>
      </c>
      <c r="J13" s="13" t="str">
        <f t="shared" ref="J13:J21" si="1">IF(E13&gt;75,"A1",IF(E13&gt;70,"B2",IF(E13&gt;60,"B3",IF(E13&gt;55,"C4",IF(E13&gt;50,"C5",IF(E13&gt;45,"C6",IF(E13&gt;40,"D7",IF(E13&gt;35,"E8",IF(E13&gt;0,"F9",IF(D11=0,"N/A",))))))))))</f>
        <v>D7</v>
      </c>
      <c r="K13" s="4"/>
      <c r="L13" s="4"/>
      <c r="M13" s="4"/>
      <c r="N13" s="4"/>
      <c r="O13" s="4"/>
    </row>
    <row r="14" spans="1:15" ht="23.25" x14ac:dyDescent="0.35">
      <c r="B14" s="4"/>
      <c r="C14" s="4"/>
      <c r="D14" s="12" t="s">
        <v>3</v>
      </c>
      <c r="E14" s="12">
        <f>VLOOKUP($D$7,DATATABLE,MATCH(D14,DATABASE!$A$1:$W$1,0),0)</f>
        <v>87</v>
      </c>
      <c r="F14" s="12" t="s">
        <v>128</v>
      </c>
      <c r="G14" s="12">
        <f>VLOOKUP($D$7,DATATABLE,MATCH(F14,DATABASE!$A$1:$W$1,0),0)</f>
        <v>3</v>
      </c>
      <c r="H14" s="42"/>
      <c r="I14" s="21" t="str">
        <f t="shared" si="0"/>
        <v>EXCELLENT</v>
      </c>
      <c r="J14" s="13" t="str">
        <f t="shared" si="1"/>
        <v>A1</v>
      </c>
      <c r="K14" s="4"/>
      <c r="L14" s="4"/>
      <c r="M14" s="4"/>
      <c r="N14" s="4"/>
      <c r="O14" s="4"/>
    </row>
    <row r="15" spans="1:15" ht="23.25" x14ac:dyDescent="0.35">
      <c r="B15" s="4"/>
      <c r="C15" s="4"/>
      <c r="D15" s="12" t="s">
        <v>88</v>
      </c>
      <c r="E15" s="12">
        <f>VLOOKUP($D$7,DATATABLE,MATCH(D15,DATABASE!$A$1:$W$1,0),0)</f>
        <v>75</v>
      </c>
      <c r="F15" s="12" t="s">
        <v>129</v>
      </c>
      <c r="G15" s="12">
        <f>VLOOKUP($D$7,DATATABLE,MATCH(F15,DATABASE!$A$1:$W$1,0),0)</f>
        <v>15</v>
      </c>
      <c r="H15" s="42"/>
      <c r="I15" s="21" t="str">
        <f t="shared" si="0"/>
        <v>VERY GOOD</v>
      </c>
      <c r="J15" s="13" t="str">
        <f t="shared" si="1"/>
        <v>B2</v>
      </c>
      <c r="K15" s="4"/>
      <c r="L15" s="4"/>
      <c r="M15" s="4"/>
      <c r="N15" s="4"/>
      <c r="O15" s="4"/>
    </row>
    <row r="16" spans="1:15" ht="23.25" x14ac:dyDescent="0.35">
      <c r="B16" s="4"/>
      <c r="C16" s="4"/>
      <c r="D16" s="12" t="s">
        <v>100</v>
      </c>
      <c r="E16" s="12" t="e">
        <f>VLOOKUP($D$7,DATATABLE,MATCH(D16,DATABASE!$A$1:$W$1,0),0)</f>
        <v>#N/A</v>
      </c>
      <c r="F16" s="12" t="s">
        <v>130</v>
      </c>
      <c r="G16" s="12">
        <f>VLOOKUP($D$7,DATATABLE,MATCH(F16,DATABASE!$A$1:$W$1,0),0)</f>
        <v>28</v>
      </c>
      <c r="H16" s="42"/>
      <c r="I16" s="21" t="e">
        <f t="shared" si="0"/>
        <v>#N/A</v>
      </c>
      <c r="J16" s="13" t="e">
        <f t="shared" si="1"/>
        <v>#N/A</v>
      </c>
      <c r="K16" s="4"/>
      <c r="L16" s="4"/>
      <c r="M16" s="4"/>
      <c r="N16" s="4"/>
      <c r="O16" s="4"/>
    </row>
    <row r="17" spans="2:15" ht="23.25" x14ac:dyDescent="0.35">
      <c r="B17" s="4"/>
      <c r="C17" s="4"/>
      <c r="D17" s="12" t="s">
        <v>4</v>
      </c>
      <c r="E17" s="12">
        <f>VLOOKUP($D$7,DATATABLE,MATCH(D17,DATABASE!$A$1:$W$1,0),0)</f>
        <v>98</v>
      </c>
      <c r="F17" s="12" t="s">
        <v>131</v>
      </c>
      <c r="G17" s="12">
        <f>VLOOKUP($D$7,DATATABLE,MATCH(F17,DATABASE!$A$1:$W$1,0),0)</f>
        <v>1</v>
      </c>
      <c r="H17" s="42"/>
      <c r="I17" s="21" t="str">
        <f t="shared" si="0"/>
        <v>DISTINCTION</v>
      </c>
      <c r="J17" s="13" t="str">
        <f t="shared" si="1"/>
        <v>A1</v>
      </c>
      <c r="K17" s="4"/>
      <c r="L17" s="4"/>
      <c r="M17" s="4"/>
      <c r="N17" s="4"/>
      <c r="O17" s="4"/>
    </row>
    <row r="18" spans="2:15" ht="23.25" x14ac:dyDescent="0.35">
      <c r="B18" s="4"/>
      <c r="C18" s="4"/>
      <c r="D18" s="12" t="s">
        <v>89</v>
      </c>
      <c r="E18" s="12">
        <f>VLOOKUP($D$7,DATATABLE,MATCH(D18,DATABASE!$A$1:$W$1,0),0)</f>
        <v>75</v>
      </c>
      <c r="F18" s="12" t="s">
        <v>132</v>
      </c>
      <c r="G18" s="12">
        <f>VLOOKUP($D$7,DATATABLE,MATCH(F18,DATABASE!$A$1:$W$1,0),0)</f>
        <v>16</v>
      </c>
      <c r="H18" s="42"/>
      <c r="I18" s="21" t="str">
        <f t="shared" si="0"/>
        <v>VERY GOOD</v>
      </c>
      <c r="J18" s="13" t="str">
        <f t="shared" si="1"/>
        <v>B2</v>
      </c>
      <c r="K18" s="4"/>
      <c r="L18" s="4"/>
      <c r="M18" s="4"/>
      <c r="N18" s="4"/>
      <c r="O18" s="4"/>
    </row>
    <row r="19" spans="2:15" ht="23.25" x14ac:dyDescent="0.35">
      <c r="B19" s="4"/>
      <c r="C19" s="4"/>
      <c r="D19" s="12" t="s">
        <v>90</v>
      </c>
      <c r="E19" s="12" t="e">
        <f>VLOOKUP($D$7,DATATABLE,MATCH(D19,DATABASE!$A$1:$W$1,0),0)</f>
        <v>#N/A</v>
      </c>
      <c r="F19" s="12" t="s">
        <v>133</v>
      </c>
      <c r="G19" s="12">
        <f>VLOOKUP($D$7,DATATABLE,MATCH(F19,DATABASE!$A$1:$W$1,0),0)</f>
        <v>21</v>
      </c>
      <c r="H19" s="42"/>
      <c r="I19" s="21" t="e">
        <f t="shared" si="0"/>
        <v>#N/A</v>
      </c>
      <c r="J19" s="13" t="e">
        <f t="shared" si="1"/>
        <v>#N/A</v>
      </c>
      <c r="K19" s="4"/>
      <c r="L19" s="4"/>
      <c r="M19" s="4"/>
      <c r="N19" s="4"/>
      <c r="O19" s="4"/>
    </row>
    <row r="20" spans="2:15" ht="23.25" x14ac:dyDescent="0.35">
      <c r="B20" s="4"/>
      <c r="C20" s="4"/>
      <c r="D20" s="12" t="s">
        <v>5</v>
      </c>
      <c r="E20" s="12">
        <f>VLOOKUP($D$7,DATATABLE,MATCH(D20,DATABASE!$A$1:$W$1,0),0)</f>
        <v>65</v>
      </c>
      <c r="F20" s="12" t="s">
        <v>134</v>
      </c>
      <c r="G20" s="12">
        <f>VLOOKUP($D$7,DATATABLE,MATCH(F20,DATABASE!$A$1:$W$1,0),0)</f>
        <v>20</v>
      </c>
      <c r="H20" s="42"/>
      <c r="I20" s="21" t="str">
        <f t="shared" si="0"/>
        <v>GOOD</v>
      </c>
      <c r="J20" s="13" t="str">
        <f t="shared" si="1"/>
        <v>B3</v>
      </c>
      <c r="K20" s="4"/>
      <c r="L20" s="4"/>
      <c r="M20" s="4"/>
      <c r="N20" s="4"/>
      <c r="O20" s="4"/>
    </row>
    <row r="21" spans="2:15" ht="23.25" x14ac:dyDescent="0.35">
      <c r="B21" s="4"/>
      <c r="C21" s="4"/>
      <c r="D21" s="12" t="s">
        <v>91</v>
      </c>
      <c r="E21" s="12" t="e">
        <f>VLOOKUP($D$7,DATATABLE,MATCH(D21,DATABASE!$A$1:$W$1,0),0)</f>
        <v>#N/A</v>
      </c>
      <c r="F21" s="12" t="s">
        <v>135</v>
      </c>
      <c r="G21" s="12">
        <f>VLOOKUP($D$7,DATATABLE,MATCH(F21,DATABASE!$A$1:$W$1,0),0)</f>
        <v>25</v>
      </c>
      <c r="H21" s="43"/>
      <c r="I21" s="21" t="e">
        <f t="shared" si="0"/>
        <v>#N/A</v>
      </c>
      <c r="J21" s="13" t="e">
        <f t="shared" si="1"/>
        <v>#N/A</v>
      </c>
      <c r="K21" s="4"/>
      <c r="L21" s="4"/>
      <c r="M21" s="4"/>
      <c r="N21" s="4"/>
      <c r="O21" s="4"/>
    </row>
    <row r="22" spans="2:15" ht="22.5" x14ac:dyDescent="0.25">
      <c r="B22" s="4"/>
      <c r="C22" s="4"/>
      <c r="D22" s="9" t="s">
        <v>97</v>
      </c>
      <c r="E22" s="9">
        <f>VLOOKUP($D$7,DATATABLE,MATCH(D22,DATABASE!$A$1:$W$1,0),0)</f>
        <v>618</v>
      </c>
      <c r="F22" s="22"/>
      <c r="G22" s="7"/>
      <c r="H22" s="7"/>
      <c r="I22" s="7"/>
      <c r="J22" s="7"/>
      <c r="K22" s="4"/>
      <c r="L22" s="4"/>
      <c r="M22" s="4"/>
      <c r="N22" s="4"/>
      <c r="O22" s="4"/>
    </row>
    <row r="23" spans="2:15" ht="8.25" customHeight="1" x14ac:dyDescent="0.25">
      <c r="B23" s="4"/>
      <c r="C23" s="4"/>
      <c r="D23" s="4"/>
      <c r="E23" s="4"/>
      <c r="F23" s="4"/>
      <c r="J23" s="4"/>
      <c r="K23" s="4"/>
      <c r="L23" s="4"/>
      <c r="M23" s="4"/>
      <c r="N23" s="4"/>
      <c r="O23" s="4"/>
    </row>
    <row r="24" spans="2:15" ht="42.75" customHeight="1" x14ac:dyDescent="0.25">
      <c r="B24" s="12" t="s">
        <v>98</v>
      </c>
      <c r="C24" s="23" t="s">
        <v>92</v>
      </c>
      <c r="D24" s="40" t="str">
        <f>IF(E22&gt;900,"EXCELLENT WORK",IF(E22&gt;800,"GOOD KEEP IT UP",IF(E22&gt;700,"COULD DO BETTER THAN THIS",IF(E22&gt;600,"STILL ROOM FOR IMPROVEMENT",IF(E22&gt;500,"MORE ROOM FOR IMPROVEMENT",IF(E22&gt;400,"MUST SIT UP AND LEARN",IF(E22&gt;300,"NEEDS TO PUT IN MUCH EFFORT BOTH AT HOME AND SCHOOL",IF(E22&gt;300,"REALLY NEEDS HELP TO BACK UP",IF(E22&gt;200,"SERIOUSLY NEEDS AN INTERVENTION IN ALL SUBJECTS",IF(E22&gt;100,"MUST SEE THE HEADTEACHER FOR A THROUGH DISCUSSIONS"))))))))))</f>
        <v>STILL ROOM FOR IMPROVEMENT</v>
      </c>
      <c r="E24" s="40"/>
      <c r="F24" s="4"/>
      <c r="G24" s="37" t="s">
        <v>105</v>
      </c>
      <c r="H24" s="38"/>
      <c r="I24" s="39"/>
      <c r="J24" s="10"/>
      <c r="K24" s="5"/>
      <c r="L24" s="4"/>
      <c r="M24" s="4"/>
      <c r="N24" s="4"/>
      <c r="O24" s="4"/>
    </row>
    <row r="25" spans="2:15" ht="26.25" customHeight="1" x14ac:dyDescent="0.25">
      <c r="B25" s="24" t="s">
        <v>125</v>
      </c>
      <c r="C25" s="25" t="s">
        <v>92</v>
      </c>
      <c r="D25" s="41"/>
      <c r="E25" s="41"/>
      <c r="F25" s="4"/>
      <c r="G25" s="16" t="s">
        <v>106</v>
      </c>
      <c r="H25" s="17"/>
      <c r="I25" s="16" t="s">
        <v>107</v>
      </c>
      <c r="J25" s="6"/>
      <c r="K25" s="4"/>
      <c r="L25" s="4"/>
      <c r="M25" s="4"/>
      <c r="N25" s="4"/>
    </row>
    <row r="26" spans="2:15" ht="26.25" customHeight="1" x14ac:dyDescent="0.25">
      <c r="B26" s="4"/>
      <c r="C26" s="4"/>
      <c r="D26" s="4"/>
      <c r="E26" s="4"/>
      <c r="F26" s="4"/>
      <c r="G26" s="16" t="s">
        <v>108</v>
      </c>
      <c r="H26" s="17"/>
      <c r="I26" s="16" t="s">
        <v>109</v>
      </c>
      <c r="J26" s="6"/>
      <c r="K26" s="4"/>
      <c r="L26" s="4"/>
      <c r="M26" s="4"/>
      <c r="N26" s="4"/>
    </row>
    <row r="27" spans="2:15" ht="26.25" customHeight="1" x14ac:dyDescent="0.25">
      <c r="B27" s="4"/>
      <c r="C27" s="4"/>
      <c r="D27" s="4"/>
      <c r="E27" s="4"/>
      <c r="F27" s="4"/>
      <c r="G27" s="16" t="s">
        <v>110</v>
      </c>
      <c r="H27" s="17"/>
      <c r="I27" s="16" t="s">
        <v>111</v>
      </c>
      <c r="J27" s="6"/>
    </row>
    <row r="28" spans="2:15" ht="26.25" customHeight="1" x14ac:dyDescent="0.25">
      <c r="G28" s="16" t="s">
        <v>112</v>
      </c>
      <c r="H28" s="17"/>
      <c r="I28" s="16" t="s">
        <v>114</v>
      </c>
      <c r="J28" s="6"/>
    </row>
    <row r="29" spans="2:15" ht="26.25" customHeight="1" x14ac:dyDescent="0.25">
      <c r="G29" s="16" t="s">
        <v>113</v>
      </c>
      <c r="H29" s="17"/>
      <c r="I29" s="16" t="s">
        <v>115</v>
      </c>
      <c r="J29" s="6"/>
    </row>
    <row r="30" spans="2:15" ht="26.25" customHeight="1" x14ac:dyDescent="0.25">
      <c r="G30" s="16" t="s">
        <v>120</v>
      </c>
      <c r="H30" s="17"/>
      <c r="I30" s="16" t="s">
        <v>116</v>
      </c>
      <c r="J30" s="6"/>
    </row>
    <row r="31" spans="2:15" ht="26.25" customHeight="1" x14ac:dyDescent="0.25">
      <c r="G31" s="16" t="s">
        <v>121</v>
      </c>
      <c r="H31" s="17"/>
      <c r="I31" s="16" t="s">
        <v>117</v>
      </c>
      <c r="J31" s="6"/>
    </row>
    <row r="32" spans="2:15" ht="27.75" customHeight="1" x14ac:dyDescent="0.25">
      <c r="G32" s="16" t="s">
        <v>122</v>
      </c>
      <c r="H32" s="17"/>
      <c r="I32" s="16" t="s">
        <v>118</v>
      </c>
      <c r="J32" s="6"/>
    </row>
    <row r="33" spans="7:13" ht="25.5" customHeight="1" x14ac:dyDescent="0.25">
      <c r="G33" s="16" t="s">
        <v>123</v>
      </c>
      <c r="H33" s="17"/>
      <c r="I33" s="16" t="s">
        <v>119</v>
      </c>
      <c r="J33" s="6"/>
    </row>
    <row r="34" spans="7:13" ht="25.5" customHeight="1" x14ac:dyDescent="0.25">
      <c r="J34" s="6"/>
    </row>
    <row r="35" spans="7:13" ht="35.25" customHeight="1" x14ac:dyDescent="0.25">
      <c r="J35" s="6"/>
    </row>
    <row r="36" spans="7:13" ht="54.75" customHeight="1" x14ac:dyDescent="0.25"/>
    <row r="43" spans="7:13" x14ac:dyDescent="0.25">
      <c r="L43" s="32"/>
      <c r="M43" s="32"/>
    </row>
  </sheetData>
  <sheetProtection formatCells="0" formatColumns="0" formatRows="0" insertColumns="0" insertRows="0" insertHyperlinks="0" deleteColumns="0" deleteRows="0" sort="0" autoFilter="0" pivotTables="0"/>
  <mergeCells count="9">
    <mergeCell ref="L43:M43"/>
    <mergeCell ref="A3:I3"/>
    <mergeCell ref="G10:I10"/>
    <mergeCell ref="A4:I4"/>
    <mergeCell ref="B1:I2"/>
    <mergeCell ref="G24:I24"/>
    <mergeCell ref="D24:E24"/>
    <mergeCell ref="D25:E25"/>
    <mergeCell ref="H13:H21"/>
  </mergeCells>
  <phoneticPr fontId="3" type="noConversion"/>
  <pageMargins left="0.7" right="0.7" top="0.75" bottom="0.75" header="0.3" footer="0.3"/>
  <pageSetup paperSize="9" scale="3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D33E32-97BB-4CBA-9E4D-0B90393744C7}">
          <x14:formula1>
            <xm:f>DATABASE!$A$2:$A$41</xm:f>
          </x14:formula1>
          <xm:sqref>D7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DATABASE</vt:lpstr>
      <vt:lpstr>REPORT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LEE</cp:lastModifiedBy>
  <cp:lastPrinted>2026-07-31T23:24:22Z</cp:lastPrinted>
  <dcterms:created xsi:type="dcterms:W3CDTF">2026-01-06T10:34:05Z</dcterms:created>
  <dcterms:modified xsi:type="dcterms:W3CDTF">2026-08-09T07:36:42Z</dcterms:modified>
</cp:coreProperties>
</file>